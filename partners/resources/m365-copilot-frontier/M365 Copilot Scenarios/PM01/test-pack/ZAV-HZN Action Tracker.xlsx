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microsofteur-my.sharepoint.com/personal/loretteroos_microsoft_com/Documents/Documents/Cowork/Tasks/create-copilot-presentation-deck-for-2026-10-05/output/Frontier Test Pack/"/>
    </mc:Choice>
  </mc:AlternateContent>
  <xr:revisionPtr revIDLastSave="16" documentId="13_ncr:101_{857EBA4D-A960-4C7B-9527-FB4BE2FCF716}" xr6:coauthVersionLast="47" xr6:coauthVersionMax="47" xr10:uidLastSave="{35BBD913-2272-4038-8C73-32CDD65384DB}"/>
  <bookViews>
    <workbookView xWindow="-23150" yWindow="-110" windowWidth="23260" windowHeight="14860" xr2:uid="{00000000-000D-0000-FFFF-FFFF00000000}"/>
  </bookViews>
  <sheets>
    <sheet name="Read me" sheetId="1" r:id="rId1"/>
    <sheet name="Actions" sheetId="2" r:id="rId2"/>
    <sheet name="Summary" sheetId="3" r:id="rId3"/>
  </sheets>
  <definedNames>
    <definedName name="AsOfDate">'Read me'!$B$7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4" i="2"/>
  <c r="J4" i="2"/>
  <c r="K3" i="2"/>
  <c r="J3" i="2"/>
</calcChain>
</file>

<file path=xl/sharedStrings.xml><?xml version="1.0" encoding="utf-8"?>
<sst xmlns="http://schemas.openxmlformats.org/spreadsheetml/2006/main" count="300" uniqueCount="175">
  <si>
    <t>ZAV-HZN Action Tracker</t>
  </si>
  <si>
    <t>Fictitious test data – Copilot for Frontier Consultancy scenario testing</t>
  </si>
  <si>
    <t>Purpose</t>
  </si>
  <si>
    <t>Meeting action log for the Zava Horizon programme, captured from daily stand-ups (09:15), design authority (Tue 14:00), PMO status (Thu 11:00) and monthly SteerCo. Use for testing overdue-action chasing, owner follow-ups, meeting preparation and status summaries.</t>
  </si>
  <si>
    <t>Programme</t>
  </si>
  <si>
    <t>Zava Horizon (ZAV-HZN) – Zava LLC, delivered by Frontier Consulting</t>
  </si>
  <si>
    <t>Data as of</t>
  </si>
  <si>
    <t>Monday 19 Oct 2026 (Dubai, UTC+4)</t>
  </si>
  <si>
    <t>As-of date (used in formulas)</t>
  </si>
  <si>
    <t>Currency</t>
  </si>
  <si>
    <t>AED</t>
  </si>
  <si>
    <t>Prepared by</t>
  </si>
  <si>
    <t>Priya Nair, Project Manager (Frontier Consulting) – scenario owner Lorette Roos</t>
  </si>
  <si>
    <t>Sheet</t>
  </si>
  <si>
    <t>Contents</t>
  </si>
  <si>
    <t>Actions</t>
  </si>
  <si>
    <t>40 actions with meeting, owner, due date, status and notes. 'Days overdue' and 'Overdue?' are calculated against the as-of date above.</t>
  </si>
  <si>
    <t>Summary</t>
  </si>
  <si>
    <t>Open, closed and overdue counts by meeting and by owner (formulas).</t>
  </si>
  <si>
    <t>Overdue rule</t>
  </si>
  <si>
    <t>Overdue = status not Closed and due date before the as-of date (19 Oct 2026).</t>
  </si>
  <si>
    <t>Next SteerCo</t>
  </si>
  <si>
    <t>Wed 28 Oct 2026 10:00–11:30 (previous: 30 Sep 2026)</t>
  </si>
  <si>
    <t>Important</t>
  </si>
  <si>
    <t>Fictitious test data – Copilot for Frontier Consultancy scenario testing. All companies, people and figures are fictitious and must not be used for real decisions.</t>
  </si>
  <si>
    <t>ZAV-HZN Action Tracker   |   Fictitious test data – Copilot for Frontier Consultancy scenario testing</t>
  </si>
  <si>
    <t>Action ID</t>
  </si>
  <si>
    <t>Meeting</t>
  </si>
  <si>
    <t>Meeting date</t>
  </si>
  <si>
    <t>Action</t>
  </si>
  <si>
    <t>Owner</t>
  </si>
  <si>
    <t>Due date</t>
  </si>
  <si>
    <t>Status</t>
  </si>
  <si>
    <t>Closed date</t>
  </si>
  <si>
    <t>Notes</t>
  </si>
  <si>
    <t>Days overdue</t>
  </si>
  <si>
    <t>Overdue?</t>
  </si>
  <si>
    <t>ACT-001</t>
  </si>
  <si>
    <t>SteerCo</t>
  </si>
  <si>
    <t>Confirm approach for ZATCA e-invoicing for ZVSA (ISV vs native)</t>
  </si>
  <si>
    <t>James Okafor</t>
  </si>
  <si>
    <t>Closed</t>
  </si>
  <si>
    <t>Options paper issued; ISV route recommended. Decision on which ISV still open (see RAID I-002).</t>
  </si>
  <si>
    <t>ACT-002</t>
  </si>
  <si>
    <t>Nominate Zava SME for each workstream for Build</t>
  </si>
  <si>
    <t>Elena Petrova</t>
  </si>
  <si>
    <t>Names confirmed in PMO status 3 Sep.</t>
  </si>
  <si>
    <t>ACT-003</t>
  </si>
  <si>
    <t>Approve design sign-off plan for 4 Sep</t>
  </si>
  <si>
    <t>Nadia Farouk</t>
  </si>
  <si>
    <t>Design signed off 4 Sep 2026.</t>
  </si>
  <si>
    <t>ACT-004</t>
  </si>
  <si>
    <t>Escalate CargoWise API specification delay to vendor executive sponsor</t>
  </si>
  <si>
    <t>Ravi Kumar</t>
  </si>
  <si>
    <t>In progress</t>
  </si>
  <si>
    <t>Letter drafted; vendor call held 9 Oct but no committed date yet.</t>
  </si>
  <si>
    <t>ACT-005</t>
  </si>
  <si>
    <t>Decide ZATCA ISV for ZVSA</t>
  </si>
  <si>
    <t>Open</t>
  </si>
  <si>
    <t>Two ISVs shortlisted; awaiting commercial comparison from Hassan Ali.</t>
  </si>
  <si>
    <t>ACT-006</t>
  </si>
  <si>
    <t>Bring options for UAT clash with ZVQA year-end close</t>
  </si>
  <si>
    <t>Priya Nair</t>
  </si>
  <si>
    <t>Two options drafted: split UAT or move ZVQA scripts into SIT week 3.</t>
  </si>
  <si>
    <t>ACT-007</t>
  </si>
  <si>
    <t>Present CR-007, CR-008 and CR-009 with impact and cost</t>
  </si>
  <si>
    <t>CR-007 18 days; CR-008 45 days; CR-009 saves 12 days (pricing risk).</t>
  </si>
  <si>
    <t>ACT-008</t>
  </si>
  <si>
    <t>Approve contingency drawdown CD-01 for CargoWise rework (AED 120,000)</t>
  </si>
  <si>
    <t>Approved in meeting.</t>
  </si>
  <si>
    <t>ACT-009</t>
  </si>
  <si>
    <t>PMO status</t>
  </si>
  <si>
    <t>Share revised spend forecast after August actuals</t>
  </si>
  <si>
    <t>Spend running 7% ahead of plan.</t>
  </si>
  <si>
    <t>ACT-010</t>
  </si>
  <si>
    <t>Provide warehouse handheld device decision (Zebra vs Honeywell)</t>
  </si>
  <si>
    <t>Grace Lee</t>
  </si>
  <si>
    <t>Comparison sent 18 Sep; chased twice.</t>
  </si>
  <si>
    <t>ACT-011</t>
  </si>
  <si>
    <t>Provision Azure integration environment (Logic Apps, Service Bus, Key Vault) in Zava tenant</t>
  </si>
  <si>
    <t>Service Bus done; Logic Apps pending firewall rules.</t>
  </si>
  <si>
    <t>ACT-012</t>
  </si>
  <si>
    <t>Confirm Copilot licence assignment report for all 600 users</t>
  </si>
  <si>
    <t>Needed before training wave 2.</t>
  </si>
  <si>
    <t>ACT-013</t>
  </si>
  <si>
    <t>Circulate vendor de-duplication rules to Hassan Ali</t>
  </si>
  <si>
    <t>Noura Al Hashimi</t>
  </si>
  <si>
    <t>Rules covering 14% duplicates sent.</t>
  </si>
  <si>
    <t>ACT-014</t>
  </si>
  <si>
    <t>Confirm golden vendor records for ZVAE and ZVOM</t>
  </si>
  <si>
    <t>Hassan Ali</t>
  </si>
  <si>
    <t>Hassan Ali on month-end close; delegate requested.</t>
  </si>
  <si>
    <t>ACT-015</t>
  </si>
  <si>
    <t>Update RAID log owners and last-updated dates before SteerCo</t>
  </si>
  <si>
    <t>Several items not updated for 3+ weeks.</t>
  </si>
  <si>
    <t>ACT-016</t>
  </si>
  <si>
    <t>Prepare SteerCo pack for 28 Oct</t>
  </si>
  <si>
    <t>Draft due to Nadia Farouk 26 Oct.</t>
  </si>
  <si>
    <t>ACT-017</t>
  </si>
  <si>
    <t>Book ZVQA finance team time for chart of accounts mapping workshop</t>
  </si>
  <si>
    <t>Mapping 60% complete.</t>
  </si>
  <si>
    <t>ACT-018</t>
  </si>
  <si>
    <t>Send remediation list for 37 overshared SharePoint sites to site owners</t>
  </si>
  <si>
    <t>Tom Becker</t>
  </si>
  <si>
    <t>HR-Payroll and Finance-Board prioritised.</t>
  </si>
  <si>
    <t>ACT-019</t>
  </si>
  <si>
    <t>Design authority</t>
  </si>
  <si>
    <t>Agree intercompany posting design across ZVAE, ZVSA, ZVOM, ZVQA and ZVHQ</t>
  </si>
  <si>
    <t>Design approved in DA.</t>
  </si>
  <si>
    <t>ACT-020</t>
  </si>
  <si>
    <t>Confirm CargoWise integration pattern (API vs file) as fallback</t>
  </si>
  <si>
    <t>Arjun Mehta</t>
  </si>
  <si>
    <t>API primary, file-based fallback agreed.</t>
  </si>
  <si>
    <t>ACT-021</t>
  </si>
  <si>
    <t>Decide whether standard trade agreements replace rate-card engine (CR-009 input)</t>
  </si>
  <si>
    <t>Rahul Verma</t>
  </si>
  <si>
    <t>Waiting for quote comparison (200 historical quotes).</t>
  </si>
  <si>
    <t>ACT-022</t>
  </si>
  <si>
    <t>Document case routing rules for Arabic and English queues</t>
  </si>
  <si>
    <t>Lina Mansour</t>
  </si>
  <si>
    <t>Reviewed with Samir Haddad.</t>
  </si>
  <si>
    <t>ACT-023</t>
  </si>
  <si>
    <t>Confirm bank file formats for KSA and Oman house banks</t>
  </si>
  <si>
    <t>UAE formats received; KSA and Oman outstanding.</t>
  </si>
  <si>
    <t>ACT-024</t>
  </si>
  <si>
    <t>Review customer portal options for CR-008 (Power Pages vs custom)</t>
  </si>
  <si>
    <t>Omar Khalil</t>
  </si>
  <si>
    <t>Power Pages preferred; estimate 45 days.</t>
  </si>
  <si>
    <t>ACT-025</t>
  </si>
  <si>
    <t>Agree error handling standard for integrations</t>
  </si>
  <si>
    <t>Draft standard shared.</t>
  </si>
  <si>
    <t>ACT-026</t>
  </si>
  <si>
    <t>Validate trade agreement pricing for 200 historical quotes</t>
  </si>
  <si>
    <t>120 of 200 quotes compared; 6% variance on surcharges.</t>
  </si>
  <si>
    <t>ACT-027</t>
  </si>
  <si>
    <t>Confirm sensitivity label taxonomy for Copilot rollout</t>
  </si>
  <si>
    <t>Elena Petrova to confirm HR labels.</t>
  </si>
  <si>
    <t>ACT-028</t>
  </si>
  <si>
    <t>Daily stand-up</t>
  </si>
  <si>
    <t>Chase CargoWise vendor for draft API spec v0.9</t>
  </si>
  <si>
    <t>Draft v0.9 received; final still pending.</t>
  </si>
  <si>
    <t>ACT-029</t>
  </si>
  <si>
    <t>Raise ticket for UAT environment storage capacity</t>
  </si>
  <si>
    <t>Resolved.</t>
  </si>
  <si>
    <t>ACT-030</t>
  </si>
  <si>
    <t>Pair with WMS developer on wave picking defects</t>
  </si>
  <si>
    <t>ACT-031</t>
  </si>
  <si>
    <t>Send Sprint 3 demo recording to Zava SMEs</t>
  </si>
  <si>
    <t>ACT-032</t>
  </si>
  <si>
    <t>Re-plan Sprint 4 integration stories around CargoWise blockers</t>
  </si>
  <si>
    <t>6 items moved to Blocked.</t>
  </si>
  <si>
    <t>ACT-033</t>
  </si>
  <si>
    <t>Fix SLA timer weekend pause bug</t>
  </si>
  <si>
    <t>Still Active in Sprint 4.</t>
  </si>
  <si>
    <t>ACT-034</t>
  </si>
  <si>
    <t>Load customer master trial load 1 to Tier 2</t>
  </si>
  <si>
    <t>98.2% records loaded.</t>
  </si>
  <si>
    <t>ACT-035</t>
  </si>
  <si>
    <t>Confirm Arabic character fix for vendor names</t>
  </si>
  <si>
    <t>ACT-036</t>
  </si>
  <si>
    <t>Share KSA bank payment file sample</t>
  </si>
  <si>
    <t>Waiting on bank.</t>
  </si>
  <si>
    <t>ACT-037</t>
  </si>
  <si>
    <t>Update Power BI trial balance dataset for ZVQA</t>
  </si>
  <si>
    <t>ACT-038</t>
  </si>
  <si>
    <t>Build CargoWise mock service from draft spec v0.9</t>
  </si>
  <si>
    <t>Blocked items can be partly unblocked with mock.</t>
  </si>
  <si>
    <t>ACT-039</t>
  </si>
  <si>
    <t>Prepare Copilot champions list by department</t>
  </si>
  <si>
    <t>ACT-040</t>
  </si>
  <si>
    <t>Confirm Sprint 4 demo agenda for Fri 23 Oct</t>
  </si>
  <si>
    <t>ZAV-HZN action summary   |   Fictitious test data – Copilot for Frontier Consultancy scenario testing</t>
  </si>
  <si>
    <t>Total</t>
  </si>
  <si>
    <t>Open / in progress</t>
  </si>
  <si>
    <t>Overdue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</si>
</sst>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9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i/>
      <sz val="11"/>
      <color rgb="FF7A4A00"/>
      <name val="Calibri"/>
    </font>
    <font>
      <b/>
      <sz val="11"/>
      <color rgb="FF1B3A57"/>
      <name val="Calibri"/>
    </font>
    <font>
      <sz val="11"/>
      <color rgb="FF0000FF"/>
      <name val="Calibri"/>
    </font>
    <font>
      <b/>
      <sz val="14"/>
      <color rgb="FF1B3A5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A57"/>
        <bgColor indexed="64"/>
      </patternFill>
    </fill>
    <fill>
      <patternFill patternType="solid">
        <fgColor rgb="FFFDF0DC"/>
        <bgColor indexed="64"/>
      </patternFill>
    </fill>
    <fill>
      <patternFill patternType="solid">
        <fgColor rgb="FFF2A93B"/>
        <bgColor indexed="64"/>
      </patternFill>
    </fill>
    <fill>
      <patternFill patternType="solid">
        <fgColor rgb="FFEAF1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164" fontId="7" fillId="0" borderId="0" xfId="0" applyNumberFormat="1" applyFont="1" applyAlignment="1">
      <alignment horizontal="left" vertical="top" wrapText="1"/>
    </xf>
    <xf numFmtId="0" fontId="3" fillId="2" borderId="0" xfId="0" applyFont="1" applyFill="1" applyAlignment="1">
      <alignment vertical="center" wrapText="1"/>
    </xf>
    <xf numFmtId="16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3" fontId="1" fillId="0" borderId="0" xfId="0" applyNumberFormat="1" applyFont="1" applyAlignment="1">
      <alignment horizontal="center" vertical="top"/>
    </xf>
    <xf numFmtId="0" fontId="3" fillId="2" borderId="0" xfId="0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4" borderId="0" xfId="0" applyFont="1" applyFill="1"/>
    <xf numFmtId="3" fontId="2" fillId="4" borderId="0" xfId="0" applyNumberFormat="1" applyFont="1" applyFill="1" applyAlignment="1">
      <alignment horizontal="center"/>
    </xf>
    <xf numFmtId="0" fontId="1" fillId="5" borderId="0" xfId="0" applyFont="1" applyFill="1"/>
    <xf numFmtId="3" fontId="1" fillId="5" borderId="0" xfId="0" applyNumberFormat="1" applyFont="1" applyFill="1" applyAlignment="1">
      <alignment horizontal="center"/>
    </xf>
    <xf numFmtId="0" fontId="4" fillId="2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8" fillId="0" borderId="0" xfId="0" applyFont="1" applyAlignment="1">
      <alignment vertical="top"/>
    </xf>
    <xf numFmtId="0" fontId="8" fillId="0" borderId="0" xfId="0" applyFont="1" applyAlignme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d\ mmm\ yyyy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d\ mmm\ yyyy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d\ mmm\ yyyy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B3A57"/>
        </patternFill>
      </fill>
      <alignment horizontal="general" vertical="center" textRotation="0" wrapText="1" indent="0" justifyLastLine="0" shrinkToFit="0" readingOrder="0"/>
    </dxf>
    <dxf>
      <font>
        <b/>
        <i val="0"/>
        <color rgb="FF9C0006"/>
      </font>
      <fill>
        <patternFill patternType="solid">
          <fgColor indexed="64"/>
          <bgColor rgb="FFF8D7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 of 11 overdue actions sit with Fabrikam-side owners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Summary!$A$10:$A$22</c:f>
              <c:strCache>
                <c:ptCount val="13"/>
                <c:pt idx="0">
                  <c:v>Arjun Mehta</c:v>
                </c:pt>
                <c:pt idx="1">
                  <c:v>Elena Petrova</c:v>
                </c:pt>
                <c:pt idx="2">
                  <c:v>Grace Lee</c:v>
                </c:pt>
                <c:pt idx="3">
                  <c:v>Hassan Ali</c:v>
                </c:pt>
                <c:pt idx="4">
                  <c:v>James Okafor</c:v>
                </c:pt>
                <c:pt idx="5">
                  <c:v>Lina Mansour</c:v>
                </c:pt>
                <c:pt idx="6">
                  <c:v>Nadia Farouk</c:v>
                </c:pt>
                <c:pt idx="7">
                  <c:v>Noura Al Hashimi</c:v>
                </c:pt>
                <c:pt idx="8">
                  <c:v>Omar Khalil</c:v>
                </c:pt>
                <c:pt idx="9">
                  <c:v>Priya Nair</c:v>
                </c:pt>
                <c:pt idx="10">
                  <c:v>Rahul Verma</c:v>
                </c:pt>
                <c:pt idx="11">
                  <c:v>Ravi Kumar</c:v>
                </c:pt>
                <c:pt idx="12">
                  <c:v>Tom Becker</c:v>
                </c:pt>
              </c:strCache>
            </c:strRef>
          </c:cat>
          <c:val>
            <c:numRef>
              <c:f>Summary!$B$10:$B$22</c:f>
              <c:numCache>
                <c:formatCode>#,##0</c:formatCode>
                <c:ptCount val="13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7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C-4B96-B7C9-2FC66AB2D17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Summary!$A$10:$A$22</c:f>
              <c:strCache>
                <c:ptCount val="13"/>
                <c:pt idx="0">
                  <c:v>Arjun Mehta</c:v>
                </c:pt>
                <c:pt idx="1">
                  <c:v>Elena Petrova</c:v>
                </c:pt>
                <c:pt idx="2">
                  <c:v>Grace Lee</c:v>
                </c:pt>
                <c:pt idx="3">
                  <c:v>Hassan Ali</c:v>
                </c:pt>
                <c:pt idx="4">
                  <c:v>James Okafor</c:v>
                </c:pt>
                <c:pt idx="5">
                  <c:v>Lina Mansour</c:v>
                </c:pt>
                <c:pt idx="6">
                  <c:v>Nadia Farouk</c:v>
                </c:pt>
                <c:pt idx="7">
                  <c:v>Noura Al Hashimi</c:v>
                </c:pt>
                <c:pt idx="8">
                  <c:v>Omar Khalil</c:v>
                </c:pt>
                <c:pt idx="9">
                  <c:v>Priya Nair</c:v>
                </c:pt>
                <c:pt idx="10">
                  <c:v>Rahul Verma</c:v>
                </c:pt>
                <c:pt idx="11">
                  <c:v>Ravi Kumar</c:v>
                </c:pt>
                <c:pt idx="12">
                  <c:v>Tom Becker</c:v>
                </c:pt>
              </c:strCache>
            </c:strRef>
          </c:cat>
          <c:val>
            <c:numRef>
              <c:f>Summary!$C$10:$C$22</c:f>
              <c:numCache>
                <c:formatCode>#,##0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5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EC-4B96-B7C9-2FC66AB2D17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Summary!$A$10:$A$22</c:f>
              <c:strCache>
                <c:ptCount val="13"/>
                <c:pt idx="0">
                  <c:v>Arjun Mehta</c:v>
                </c:pt>
                <c:pt idx="1">
                  <c:v>Elena Petrova</c:v>
                </c:pt>
                <c:pt idx="2">
                  <c:v>Grace Lee</c:v>
                </c:pt>
                <c:pt idx="3">
                  <c:v>Hassan Ali</c:v>
                </c:pt>
                <c:pt idx="4">
                  <c:v>James Okafor</c:v>
                </c:pt>
                <c:pt idx="5">
                  <c:v>Lina Mansour</c:v>
                </c:pt>
                <c:pt idx="6">
                  <c:v>Nadia Farouk</c:v>
                </c:pt>
                <c:pt idx="7">
                  <c:v>Noura Al Hashimi</c:v>
                </c:pt>
                <c:pt idx="8">
                  <c:v>Omar Khalil</c:v>
                </c:pt>
                <c:pt idx="9">
                  <c:v>Priya Nair</c:v>
                </c:pt>
                <c:pt idx="10">
                  <c:v>Rahul Verma</c:v>
                </c:pt>
                <c:pt idx="11">
                  <c:v>Ravi Kumar</c:v>
                </c:pt>
                <c:pt idx="12">
                  <c:v>Tom Becker</c:v>
                </c:pt>
              </c:strCache>
            </c:strRef>
          </c:cat>
          <c:val>
            <c:numRef>
              <c:f>Summary!$D$10:$D$22</c:f>
              <c:numCache>
                <c:formatCode>#,##0</c:formatCode>
                <c:ptCount val="13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EC-4B96-B7C9-2FC66AB2D17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Summary!$A$10:$A$22</c:f>
              <c:strCache>
                <c:ptCount val="13"/>
                <c:pt idx="0">
                  <c:v>Arjun Mehta</c:v>
                </c:pt>
                <c:pt idx="1">
                  <c:v>Elena Petrova</c:v>
                </c:pt>
                <c:pt idx="2">
                  <c:v>Grace Lee</c:v>
                </c:pt>
                <c:pt idx="3">
                  <c:v>Hassan Ali</c:v>
                </c:pt>
                <c:pt idx="4">
                  <c:v>James Okafor</c:v>
                </c:pt>
                <c:pt idx="5">
                  <c:v>Lina Mansour</c:v>
                </c:pt>
                <c:pt idx="6">
                  <c:v>Nadia Farouk</c:v>
                </c:pt>
                <c:pt idx="7">
                  <c:v>Noura Al Hashimi</c:v>
                </c:pt>
                <c:pt idx="8">
                  <c:v>Omar Khalil</c:v>
                </c:pt>
                <c:pt idx="9">
                  <c:v>Priya Nair</c:v>
                </c:pt>
                <c:pt idx="10">
                  <c:v>Rahul Verma</c:v>
                </c:pt>
                <c:pt idx="11">
                  <c:v>Ravi Kumar</c:v>
                </c:pt>
                <c:pt idx="12">
                  <c:v>Tom Becker</c:v>
                </c:pt>
              </c:strCache>
            </c:strRef>
          </c:cat>
          <c:val>
            <c:numRef>
              <c:f>Summary!$E$10:$E$22</c:f>
              <c:numCache>
                <c:formatCode>#,##0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EC-4B96-B7C9-2FC66AB2D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139207"/>
        <c:axId val="161145351"/>
      </c:barChart>
      <c:catAx>
        <c:axId val="161139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45351"/>
        <c:crosses val="autoZero"/>
        <c:auto val="1"/>
        <c:lblAlgn val="ctr"/>
        <c:lblOffset val="100"/>
        <c:noMultiLvlLbl val="0"/>
      </c:catAx>
      <c:valAx>
        <c:axId val="161145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39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E1C31C-7520-2683-4961-03555BAB41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95B815-DF21-42FF-A2A4-E9BF4E467C12}" name="Actions" displayName="Actions" ref="A2:K42" totalsRowShown="0" headerRowDxfId="12" dataDxfId="11">
  <autoFilter ref="A2:K42" xr:uid="{5795B815-DF21-42FF-A2A4-E9BF4E467C12}"/>
  <tableColumns count="11">
    <tableColumn id="1" xr3:uid="{BCD68615-7F64-4209-B9AF-5987960D2E91}" name="Action ID" dataDxfId="10"/>
    <tableColumn id="2" xr3:uid="{2BF505CD-29A1-4B0B-8062-A31AA3004BBC}" name="Meeting" dataDxfId="9"/>
    <tableColumn id="3" xr3:uid="{034FE1D9-2BB1-4C0B-824D-6B4BC23211B1}" name="Meeting date" dataDxfId="8"/>
    <tableColumn id="4" xr3:uid="{7A09B54D-ACF6-4FEA-BF1E-05E3FA918119}" name="Action" dataDxfId="7"/>
    <tableColumn id="5" xr3:uid="{6275CEA6-99B1-4B06-8930-8EA4B5065B76}" name="Owner" dataDxfId="6"/>
    <tableColumn id="6" xr3:uid="{ED79D936-E1C2-481B-91A6-2A764D502BD2}" name="Due date" dataDxfId="5"/>
    <tableColumn id="7" xr3:uid="{7F3EB470-6F1E-4AA5-B3C8-A952FB2C33A5}" name="Status" dataDxfId="4"/>
    <tableColumn id="8" xr3:uid="{8949DE5A-24A5-496E-B867-3937A340C84F}" name="Closed date" dataDxfId="3"/>
    <tableColumn id="9" xr3:uid="{BD68D3AD-26B2-44C4-99BA-E65A7D97EC12}" name="Notes" dataDxfId="2"/>
    <tableColumn id="10" xr3:uid="{C4904343-17A3-4947-95FA-29588A2F950A}" name="Days overdue" dataDxfId="1">
      <calculatedColumnFormula>IF(AND(G3&lt;&gt;"Closed",F3&lt;AsOfDate),AsOfDate-F3,"")</calculatedColumnFormula>
    </tableColumn>
    <tableColumn id="11" xr3:uid="{26456D18-F660-4C79-80C3-9530FBB42BE9}" name="Overdue?" dataDxfId="0">
      <calculatedColumnFormula>IF(AND(G3&lt;&gt;"Closed",F3&lt;AsOfDate),"Yes","No")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pane ySplit="2" topLeftCell="A3" activePane="bottomLeft" state="frozen"/>
      <selection pane="bottomLeft" sqref="A1:B1"/>
    </sheetView>
  </sheetViews>
  <sheetFormatPr defaultRowHeight="15"/>
  <cols>
    <col min="1" max="1" width="30.7109375" customWidth="1"/>
    <col min="2" max="2" width="110.7109375" customWidth="1"/>
  </cols>
  <sheetData>
    <row r="1" spans="1:2" ht="21">
      <c r="A1" s="22" t="s">
        <v>0</v>
      </c>
      <c r="B1" s="22"/>
    </row>
    <row r="2" spans="1:2">
      <c r="A2" s="23" t="s">
        <v>1</v>
      </c>
      <c r="B2" s="23"/>
    </row>
    <row r="3" spans="1:2">
      <c r="A3" s="3"/>
      <c r="B3" s="3"/>
    </row>
    <row r="4" spans="1:2" ht="45.75">
      <c r="A4" s="4" t="s">
        <v>2</v>
      </c>
      <c r="B4" s="3" t="s">
        <v>3</v>
      </c>
    </row>
    <row r="5" spans="1:2">
      <c r="A5" s="4" t="s">
        <v>4</v>
      </c>
      <c r="B5" s="3" t="s">
        <v>5</v>
      </c>
    </row>
    <row r="6" spans="1:2">
      <c r="A6" s="4" t="s">
        <v>6</v>
      </c>
      <c r="B6" s="3" t="s">
        <v>7</v>
      </c>
    </row>
    <row r="7" spans="1:2">
      <c r="A7" s="4" t="s">
        <v>8</v>
      </c>
      <c r="B7" s="8">
        <v>46314</v>
      </c>
    </row>
    <row r="8" spans="1:2">
      <c r="A8" s="4" t="s">
        <v>9</v>
      </c>
      <c r="B8" s="3" t="s">
        <v>10</v>
      </c>
    </row>
    <row r="9" spans="1:2">
      <c r="A9" s="4" t="s">
        <v>11</v>
      </c>
      <c r="B9" s="3" t="s">
        <v>12</v>
      </c>
    </row>
    <row r="10" spans="1:2">
      <c r="A10" s="4"/>
      <c r="B10" s="3"/>
    </row>
    <row r="11" spans="1:2">
      <c r="A11" s="5" t="s">
        <v>13</v>
      </c>
      <c r="B11" s="5" t="s">
        <v>14</v>
      </c>
    </row>
    <row r="12" spans="1:2" ht="30">
      <c r="A12" s="4" t="s">
        <v>15</v>
      </c>
      <c r="B12" s="3" t="s">
        <v>16</v>
      </c>
    </row>
    <row r="13" spans="1:2">
      <c r="A13" s="4" t="s">
        <v>17</v>
      </c>
      <c r="B13" s="3" t="s">
        <v>18</v>
      </c>
    </row>
    <row r="14" spans="1:2">
      <c r="A14" s="4"/>
      <c r="B14" s="3"/>
    </row>
    <row r="15" spans="1:2">
      <c r="A15" s="4" t="s">
        <v>19</v>
      </c>
      <c r="B15" s="3" t="s">
        <v>20</v>
      </c>
    </row>
    <row r="16" spans="1:2">
      <c r="A16" s="4" t="s">
        <v>21</v>
      </c>
      <c r="B16" s="3" t="s">
        <v>22</v>
      </c>
    </row>
    <row r="17" spans="1:2">
      <c r="A17" s="4"/>
      <c r="B17" s="3"/>
    </row>
    <row r="18" spans="1:2" ht="30">
      <c r="A18" s="6" t="s">
        <v>23</v>
      </c>
      <c r="B18" s="7" t="s">
        <v>24</v>
      </c>
    </row>
  </sheetData>
  <mergeCells count="2">
    <mergeCell ref="A1:B1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6A2B-B8A2-4A92-A1CA-18DDC904B1A0}">
  <dimension ref="A1:K4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7.7109375" customWidth="1"/>
    <col min="3" max="3" width="13.7109375" customWidth="1"/>
    <col min="4" max="4" width="62.7109375" customWidth="1"/>
    <col min="5" max="5" width="18.7109375" customWidth="1"/>
    <col min="6" max="8" width="12.7109375" customWidth="1"/>
    <col min="9" max="9" width="55.7109375" customWidth="1"/>
    <col min="10" max="10" width="9.7109375" customWidth="1"/>
    <col min="11" max="11" width="10.7109375" customWidth="1"/>
  </cols>
  <sheetData>
    <row r="1" spans="1:11" ht="24" customHeight="1">
      <c r="A1" s="24" t="s">
        <v>25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32.25" customHeight="1">
      <c r="A2" s="9" t="s">
        <v>26</v>
      </c>
      <c r="B2" s="9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9" t="s">
        <v>33</v>
      </c>
      <c r="I2" s="9" t="s">
        <v>34</v>
      </c>
      <c r="J2" s="9" t="s">
        <v>35</v>
      </c>
      <c r="K2" s="9" t="s">
        <v>36</v>
      </c>
    </row>
    <row r="3" spans="1:11" ht="30.75">
      <c r="A3" s="2" t="s">
        <v>37</v>
      </c>
      <c r="B3" s="2" t="s">
        <v>38</v>
      </c>
      <c r="C3" s="10">
        <v>46260</v>
      </c>
      <c r="D3" s="11" t="s">
        <v>39</v>
      </c>
      <c r="E3" s="13" t="s">
        <v>40</v>
      </c>
      <c r="F3" s="10">
        <v>46281</v>
      </c>
      <c r="G3" s="12" t="s">
        <v>41</v>
      </c>
      <c r="H3" s="10">
        <v>46280</v>
      </c>
      <c r="I3" s="3" t="s">
        <v>42</v>
      </c>
      <c r="J3" s="14" t="str">
        <f t="shared" ref="J3:J42" si="0">IF(AND(G3&lt;&gt;"Closed",F3&lt;AsOfDate),AsOfDate-F3,"")</f>
        <v/>
      </c>
      <c r="K3" s="12" t="str">
        <f t="shared" ref="K3:K42" si="1">IF(AND(G3&lt;&gt;"Closed",F3&lt;AsOfDate),"Yes","No")</f>
        <v>No</v>
      </c>
    </row>
    <row r="4" spans="1:11">
      <c r="A4" s="2" t="s">
        <v>43</v>
      </c>
      <c r="B4" s="2" t="s">
        <v>38</v>
      </c>
      <c r="C4" s="10">
        <v>46260</v>
      </c>
      <c r="D4" s="11" t="s">
        <v>44</v>
      </c>
      <c r="E4" s="13" t="s">
        <v>45</v>
      </c>
      <c r="F4" s="10">
        <v>46269</v>
      </c>
      <c r="G4" s="12" t="s">
        <v>41</v>
      </c>
      <c r="H4" s="10">
        <v>46268</v>
      </c>
      <c r="I4" s="3" t="s">
        <v>46</v>
      </c>
      <c r="J4" s="14" t="str">
        <f t="shared" si="0"/>
        <v/>
      </c>
      <c r="K4" s="12" t="str">
        <f t="shared" si="1"/>
        <v>No</v>
      </c>
    </row>
    <row r="5" spans="1:11">
      <c r="A5" s="2" t="s">
        <v>47</v>
      </c>
      <c r="B5" s="2" t="s">
        <v>38</v>
      </c>
      <c r="C5" s="10">
        <v>46260</v>
      </c>
      <c r="D5" s="11" t="s">
        <v>48</v>
      </c>
      <c r="E5" s="13" t="s">
        <v>49</v>
      </c>
      <c r="F5" s="10">
        <v>46269</v>
      </c>
      <c r="G5" s="12" t="s">
        <v>41</v>
      </c>
      <c r="H5" s="10">
        <v>46269</v>
      </c>
      <c r="I5" s="3" t="s">
        <v>50</v>
      </c>
      <c r="J5" s="14" t="str">
        <f t="shared" si="0"/>
        <v/>
      </c>
      <c r="K5" s="12" t="str">
        <f t="shared" si="1"/>
        <v>No</v>
      </c>
    </row>
    <row r="6" spans="1:11" ht="30">
      <c r="A6" s="2" t="s">
        <v>51</v>
      </c>
      <c r="B6" s="2" t="s">
        <v>38</v>
      </c>
      <c r="C6" s="10">
        <v>46295</v>
      </c>
      <c r="D6" s="11" t="s">
        <v>52</v>
      </c>
      <c r="E6" s="13" t="s">
        <v>53</v>
      </c>
      <c r="F6" s="10">
        <v>46302</v>
      </c>
      <c r="G6" s="12" t="s">
        <v>54</v>
      </c>
      <c r="H6" s="10"/>
      <c r="I6" s="3" t="s">
        <v>55</v>
      </c>
      <c r="J6" s="14">
        <f t="shared" si="0"/>
        <v>12</v>
      </c>
      <c r="K6" s="12" t="str">
        <f t="shared" si="1"/>
        <v>Yes</v>
      </c>
    </row>
    <row r="7" spans="1:11" ht="30.75">
      <c r="A7" s="2" t="s">
        <v>56</v>
      </c>
      <c r="B7" s="2" t="s">
        <v>38</v>
      </c>
      <c r="C7" s="10">
        <v>46295</v>
      </c>
      <c r="D7" s="11" t="s">
        <v>57</v>
      </c>
      <c r="E7" s="13" t="s">
        <v>49</v>
      </c>
      <c r="F7" s="10">
        <v>46309</v>
      </c>
      <c r="G7" s="12" t="s">
        <v>58</v>
      </c>
      <c r="H7" s="10"/>
      <c r="I7" s="3" t="s">
        <v>59</v>
      </c>
      <c r="J7" s="14">
        <f t="shared" si="0"/>
        <v>5</v>
      </c>
      <c r="K7" s="12" t="str">
        <f t="shared" si="1"/>
        <v>Yes</v>
      </c>
    </row>
    <row r="8" spans="1:11" ht="30.75">
      <c r="A8" s="2" t="s">
        <v>60</v>
      </c>
      <c r="B8" s="2" t="s">
        <v>38</v>
      </c>
      <c r="C8" s="10">
        <v>46295</v>
      </c>
      <c r="D8" s="11" t="s">
        <v>61</v>
      </c>
      <c r="E8" s="13" t="s">
        <v>62</v>
      </c>
      <c r="F8" s="10">
        <v>46316</v>
      </c>
      <c r="G8" s="12" t="s">
        <v>54</v>
      </c>
      <c r="H8" s="10"/>
      <c r="I8" s="3" t="s">
        <v>63</v>
      </c>
      <c r="J8" s="14" t="str">
        <f t="shared" si="0"/>
        <v/>
      </c>
      <c r="K8" s="12" t="str">
        <f t="shared" si="1"/>
        <v>No</v>
      </c>
    </row>
    <row r="9" spans="1:11" ht="30">
      <c r="A9" s="2" t="s">
        <v>64</v>
      </c>
      <c r="B9" s="2" t="s">
        <v>38</v>
      </c>
      <c r="C9" s="10">
        <v>46295</v>
      </c>
      <c r="D9" s="11" t="s">
        <v>65</v>
      </c>
      <c r="E9" s="13" t="s">
        <v>62</v>
      </c>
      <c r="F9" s="10">
        <v>46316</v>
      </c>
      <c r="G9" s="12" t="s">
        <v>54</v>
      </c>
      <c r="H9" s="10"/>
      <c r="I9" s="3" t="s">
        <v>66</v>
      </c>
      <c r="J9" s="14" t="str">
        <f t="shared" si="0"/>
        <v/>
      </c>
      <c r="K9" s="12" t="str">
        <f t="shared" si="1"/>
        <v>No</v>
      </c>
    </row>
    <row r="10" spans="1:11" ht="30">
      <c r="A10" s="2" t="s">
        <v>67</v>
      </c>
      <c r="B10" s="2" t="s">
        <v>38</v>
      </c>
      <c r="C10" s="10">
        <v>46295</v>
      </c>
      <c r="D10" s="11" t="s">
        <v>68</v>
      </c>
      <c r="E10" s="13" t="s">
        <v>49</v>
      </c>
      <c r="F10" s="10">
        <v>46295</v>
      </c>
      <c r="G10" s="12" t="s">
        <v>41</v>
      </c>
      <c r="H10" s="10">
        <v>46295</v>
      </c>
      <c r="I10" s="3" t="s">
        <v>69</v>
      </c>
      <c r="J10" s="14" t="str">
        <f t="shared" si="0"/>
        <v/>
      </c>
      <c r="K10" s="12" t="str">
        <f t="shared" si="1"/>
        <v>No</v>
      </c>
    </row>
    <row r="11" spans="1:11">
      <c r="A11" s="2" t="s">
        <v>70</v>
      </c>
      <c r="B11" s="2" t="s">
        <v>71</v>
      </c>
      <c r="C11" s="10">
        <v>46282</v>
      </c>
      <c r="D11" s="11" t="s">
        <v>72</v>
      </c>
      <c r="E11" s="13" t="s">
        <v>62</v>
      </c>
      <c r="F11" s="10">
        <v>46289</v>
      </c>
      <c r="G11" s="12" t="s">
        <v>41</v>
      </c>
      <c r="H11" s="10">
        <v>46289</v>
      </c>
      <c r="I11" s="3" t="s">
        <v>73</v>
      </c>
      <c r="J11" s="14" t="str">
        <f t="shared" si="0"/>
        <v/>
      </c>
      <c r="K11" s="12" t="str">
        <f t="shared" si="1"/>
        <v>No</v>
      </c>
    </row>
    <row r="12" spans="1:11">
      <c r="A12" s="2" t="s">
        <v>74</v>
      </c>
      <c r="B12" s="2" t="s">
        <v>71</v>
      </c>
      <c r="C12" s="10">
        <v>46289</v>
      </c>
      <c r="D12" s="11" t="s">
        <v>75</v>
      </c>
      <c r="E12" s="13" t="s">
        <v>76</v>
      </c>
      <c r="F12" s="10">
        <v>46303</v>
      </c>
      <c r="G12" s="12" t="s">
        <v>58</v>
      </c>
      <c r="H12" s="10"/>
      <c r="I12" s="3" t="s">
        <v>77</v>
      </c>
      <c r="J12" s="14">
        <f t="shared" si="0"/>
        <v>11</v>
      </c>
      <c r="K12" s="12" t="str">
        <f t="shared" si="1"/>
        <v>Yes</v>
      </c>
    </row>
    <row r="13" spans="1:11" ht="30.75">
      <c r="A13" s="2" t="s">
        <v>78</v>
      </c>
      <c r="B13" s="2" t="s">
        <v>71</v>
      </c>
      <c r="C13" s="10">
        <v>46289</v>
      </c>
      <c r="D13" s="11" t="s">
        <v>79</v>
      </c>
      <c r="E13" s="13" t="s">
        <v>53</v>
      </c>
      <c r="F13" s="10">
        <v>46296</v>
      </c>
      <c r="G13" s="12" t="s">
        <v>54</v>
      </c>
      <c r="H13" s="10"/>
      <c r="I13" s="3" t="s">
        <v>80</v>
      </c>
      <c r="J13" s="14">
        <f t="shared" si="0"/>
        <v>18</v>
      </c>
      <c r="K13" s="12" t="str">
        <f t="shared" si="1"/>
        <v>Yes</v>
      </c>
    </row>
    <row r="14" spans="1:11">
      <c r="A14" s="2" t="s">
        <v>81</v>
      </c>
      <c r="B14" s="2" t="s">
        <v>71</v>
      </c>
      <c r="C14" s="10">
        <v>46296</v>
      </c>
      <c r="D14" s="11" t="s">
        <v>82</v>
      </c>
      <c r="E14" s="13" t="s">
        <v>53</v>
      </c>
      <c r="F14" s="10">
        <v>46303</v>
      </c>
      <c r="G14" s="12" t="s">
        <v>58</v>
      </c>
      <c r="H14" s="10"/>
      <c r="I14" s="3" t="s">
        <v>83</v>
      </c>
      <c r="J14" s="14">
        <f t="shared" si="0"/>
        <v>11</v>
      </c>
      <c r="K14" s="12" t="str">
        <f t="shared" si="1"/>
        <v>Yes</v>
      </c>
    </row>
    <row r="15" spans="1:11">
      <c r="A15" s="2" t="s">
        <v>84</v>
      </c>
      <c r="B15" s="2" t="s">
        <v>71</v>
      </c>
      <c r="C15" s="10">
        <v>46296</v>
      </c>
      <c r="D15" s="11" t="s">
        <v>85</v>
      </c>
      <c r="E15" s="13" t="s">
        <v>86</v>
      </c>
      <c r="F15" s="10">
        <v>46301</v>
      </c>
      <c r="G15" s="12" t="s">
        <v>41</v>
      </c>
      <c r="H15" s="10">
        <v>46300</v>
      </c>
      <c r="I15" s="3" t="s">
        <v>87</v>
      </c>
      <c r="J15" s="14" t="str">
        <f t="shared" si="0"/>
        <v/>
      </c>
      <c r="K15" s="12" t="str">
        <f t="shared" si="1"/>
        <v>No</v>
      </c>
    </row>
    <row r="16" spans="1:11">
      <c r="A16" s="2" t="s">
        <v>88</v>
      </c>
      <c r="B16" s="2" t="s">
        <v>71</v>
      </c>
      <c r="C16" s="10">
        <v>46303</v>
      </c>
      <c r="D16" s="11" t="s">
        <v>89</v>
      </c>
      <c r="E16" s="13" t="s">
        <v>90</v>
      </c>
      <c r="F16" s="10">
        <v>46310</v>
      </c>
      <c r="G16" s="12" t="s">
        <v>58</v>
      </c>
      <c r="H16" s="10"/>
      <c r="I16" s="3" t="s">
        <v>91</v>
      </c>
      <c r="J16" s="14">
        <f t="shared" si="0"/>
        <v>4</v>
      </c>
      <c r="K16" s="12" t="str">
        <f t="shared" si="1"/>
        <v>Yes</v>
      </c>
    </row>
    <row r="17" spans="1:11">
      <c r="A17" s="2" t="s">
        <v>92</v>
      </c>
      <c r="B17" s="2" t="s">
        <v>71</v>
      </c>
      <c r="C17" s="10">
        <v>46303</v>
      </c>
      <c r="D17" s="11" t="s">
        <v>93</v>
      </c>
      <c r="E17" s="13" t="s">
        <v>62</v>
      </c>
      <c r="F17" s="10">
        <v>46317</v>
      </c>
      <c r="G17" s="12" t="s">
        <v>58</v>
      </c>
      <c r="H17" s="10"/>
      <c r="I17" s="3" t="s">
        <v>94</v>
      </c>
      <c r="J17" s="14" t="str">
        <f t="shared" si="0"/>
        <v/>
      </c>
      <c r="K17" s="12" t="str">
        <f t="shared" si="1"/>
        <v>No</v>
      </c>
    </row>
    <row r="18" spans="1:11">
      <c r="A18" s="2" t="s">
        <v>95</v>
      </c>
      <c r="B18" s="2" t="s">
        <v>71</v>
      </c>
      <c r="C18" s="10">
        <v>46310</v>
      </c>
      <c r="D18" s="11" t="s">
        <v>96</v>
      </c>
      <c r="E18" s="13" t="s">
        <v>62</v>
      </c>
      <c r="F18" s="10">
        <v>46321</v>
      </c>
      <c r="G18" s="12" t="s">
        <v>54</v>
      </c>
      <c r="H18" s="10"/>
      <c r="I18" s="3" t="s">
        <v>97</v>
      </c>
      <c r="J18" s="14" t="str">
        <f t="shared" si="0"/>
        <v/>
      </c>
      <c r="K18" s="12" t="str">
        <f t="shared" si="1"/>
        <v>No</v>
      </c>
    </row>
    <row r="19" spans="1:11">
      <c r="A19" s="2" t="s">
        <v>98</v>
      </c>
      <c r="B19" s="2" t="s">
        <v>71</v>
      </c>
      <c r="C19" s="10">
        <v>46310</v>
      </c>
      <c r="D19" s="11" t="s">
        <v>99</v>
      </c>
      <c r="E19" s="13" t="s">
        <v>90</v>
      </c>
      <c r="F19" s="10">
        <v>46311</v>
      </c>
      <c r="G19" s="12" t="s">
        <v>58</v>
      </c>
      <c r="H19" s="10"/>
      <c r="I19" s="3" t="s">
        <v>100</v>
      </c>
      <c r="J19" s="14">
        <f t="shared" si="0"/>
        <v>3</v>
      </c>
      <c r="K19" s="12" t="str">
        <f t="shared" si="1"/>
        <v>Yes</v>
      </c>
    </row>
    <row r="20" spans="1:11" ht="30">
      <c r="A20" s="2" t="s">
        <v>101</v>
      </c>
      <c r="B20" s="2" t="s">
        <v>71</v>
      </c>
      <c r="C20" s="10">
        <v>46310</v>
      </c>
      <c r="D20" s="11" t="s">
        <v>102</v>
      </c>
      <c r="E20" s="13" t="s">
        <v>103</v>
      </c>
      <c r="F20" s="10">
        <v>46315</v>
      </c>
      <c r="G20" s="12" t="s">
        <v>54</v>
      </c>
      <c r="H20" s="10"/>
      <c r="I20" s="3" t="s">
        <v>104</v>
      </c>
      <c r="J20" s="14" t="str">
        <f t="shared" si="0"/>
        <v/>
      </c>
      <c r="K20" s="12" t="str">
        <f t="shared" si="1"/>
        <v>No</v>
      </c>
    </row>
    <row r="21" spans="1:11" ht="30.75">
      <c r="A21" s="2" t="s">
        <v>105</v>
      </c>
      <c r="B21" s="2" t="s">
        <v>106</v>
      </c>
      <c r="C21" s="10">
        <v>46273</v>
      </c>
      <c r="D21" s="11" t="s">
        <v>107</v>
      </c>
      <c r="E21" s="13" t="s">
        <v>40</v>
      </c>
      <c r="F21" s="10">
        <v>46287</v>
      </c>
      <c r="G21" s="12" t="s">
        <v>41</v>
      </c>
      <c r="H21" s="10">
        <v>46287</v>
      </c>
      <c r="I21" s="3" t="s">
        <v>108</v>
      </c>
      <c r="J21" s="14" t="str">
        <f t="shared" si="0"/>
        <v/>
      </c>
      <c r="K21" s="12" t="str">
        <f t="shared" si="1"/>
        <v>No</v>
      </c>
    </row>
    <row r="22" spans="1:11">
      <c r="A22" s="2" t="s">
        <v>109</v>
      </c>
      <c r="B22" s="2" t="s">
        <v>106</v>
      </c>
      <c r="C22" s="10">
        <v>46280</v>
      </c>
      <c r="D22" s="11" t="s">
        <v>110</v>
      </c>
      <c r="E22" s="13" t="s">
        <v>111</v>
      </c>
      <c r="F22" s="10">
        <v>46294</v>
      </c>
      <c r="G22" s="12" t="s">
        <v>41</v>
      </c>
      <c r="H22" s="10">
        <v>46294</v>
      </c>
      <c r="I22" s="3" t="s">
        <v>112</v>
      </c>
      <c r="J22" s="14" t="str">
        <f t="shared" si="0"/>
        <v/>
      </c>
      <c r="K22" s="12" t="str">
        <f t="shared" si="1"/>
        <v>No</v>
      </c>
    </row>
    <row r="23" spans="1:11" ht="30">
      <c r="A23" s="2" t="s">
        <v>113</v>
      </c>
      <c r="B23" s="2" t="s">
        <v>106</v>
      </c>
      <c r="C23" s="10">
        <v>46287</v>
      </c>
      <c r="D23" s="11" t="s">
        <v>114</v>
      </c>
      <c r="E23" s="13" t="s">
        <v>115</v>
      </c>
      <c r="F23" s="10">
        <v>46301</v>
      </c>
      <c r="G23" s="12" t="s">
        <v>58</v>
      </c>
      <c r="H23" s="10"/>
      <c r="I23" s="3" t="s">
        <v>116</v>
      </c>
      <c r="J23" s="14">
        <f t="shared" si="0"/>
        <v>13</v>
      </c>
      <c r="K23" s="12" t="str">
        <f t="shared" si="1"/>
        <v>Yes</v>
      </c>
    </row>
    <row r="24" spans="1:11">
      <c r="A24" s="2" t="s">
        <v>117</v>
      </c>
      <c r="B24" s="2" t="s">
        <v>106</v>
      </c>
      <c r="C24" s="10">
        <v>46294</v>
      </c>
      <c r="D24" s="11" t="s">
        <v>118</v>
      </c>
      <c r="E24" s="13" t="s">
        <v>119</v>
      </c>
      <c r="F24" s="10">
        <v>46301</v>
      </c>
      <c r="G24" s="12" t="s">
        <v>41</v>
      </c>
      <c r="H24" s="10">
        <v>46301</v>
      </c>
      <c r="I24" s="3" t="s">
        <v>120</v>
      </c>
      <c r="J24" s="14" t="str">
        <f t="shared" si="0"/>
        <v/>
      </c>
      <c r="K24" s="12" t="str">
        <f t="shared" si="1"/>
        <v>No</v>
      </c>
    </row>
    <row r="25" spans="1:11">
      <c r="A25" s="2" t="s">
        <v>121</v>
      </c>
      <c r="B25" s="2" t="s">
        <v>106</v>
      </c>
      <c r="C25" s="10">
        <v>46301</v>
      </c>
      <c r="D25" s="11" t="s">
        <v>122</v>
      </c>
      <c r="E25" s="13" t="s">
        <v>40</v>
      </c>
      <c r="F25" s="10">
        <v>46308</v>
      </c>
      <c r="G25" s="12" t="s">
        <v>58</v>
      </c>
      <c r="H25" s="10"/>
      <c r="I25" s="3" t="s">
        <v>123</v>
      </c>
      <c r="J25" s="14">
        <f t="shared" si="0"/>
        <v>6</v>
      </c>
      <c r="K25" s="12" t="str">
        <f t="shared" si="1"/>
        <v>Yes</v>
      </c>
    </row>
    <row r="26" spans="1:11">
      <c r="A26" s="2" t="s">
        <v>124</v>
      </c>
      <c r="B26" s="2" t="s">
        <v>106</v>
      </c>
      <c r="C26" s="10">
        <v>46301</v>
      </c>
      <c r="D26" s="11" t="s">
        <v>125</v>
      </c>
      <c r="E26" s="13" t="s">
        <v>126</v>
      </c>
      <c r="F26" s="10">
        <v>46315</v>
      </c>
      <c r="G26" s="12" t="s">
        <v>54</v>
      </c>
      <c r="H26" s="10"/>
      <c r="I26" s="3" t="s">
        <v>127</v>
      </c>
      <c r="J26" s="14" t="str">
        <f t="shared" si="0"/>
        <v/>
      </c>
      <c r="K26" s="12" t="str">
        <f t="shared" si="1"/>
        <v>No</v>
      </c>
    </row>
    <row r="27" spans="1:11">
      <c r="A27" s="2" t="s">
        <v>128</v>
      </c>
      <c r="B27" s="2" t="s">
        <v>106</v>
      </c>
      <c r="C27" s="10">
        <v>46308</v>
      </c>
      <c r="D27" s="11" t="s">
        <v>129</v>
      </c>
      <c r="E27" s="13" t="s">
        <v>111</v>
      </c>
      <c r="F27" s="10">
        <v>46322</v>
      </c>
      <c r="G27" s="12" t="s">
        <v>58</v>
      </c>
      <c r="H27" s="10"/>
      <c r="I27" s="3" t="s">
        <v>130</v>
      </c>
      <c r="J27" s="14" t="str">
        <f t="shared" si="0"/>
        <v/>
      </c>
      <c r="K27" s="12" t="str">
        <f t="shared" si="1"/>
        <v>No</v>
      </c>
    </row>
    <row r="28" spans="1:11">
      <c r="A28" s="2" t="s">
        <v>131</v>
      </c>
      <c r="B28" s="2" t="s">
        <v>106</v>
      </c>
      <c r="C28" s="10">
        <v>46308</v>
      </c>
      <c r="D28" s="11" t="s">
        <v>132</v>
      </c>
      <c r="E28" s="13" t="s">
        <v>119</v>
      </c>
      <c r="F28" s="10">
        <v>46318</v>
      </c>
      <c r="G28" s="12" t="s">
        <v>54</v>
      </c>
      <c r="H28" s="10"/>
      <c r="I28" s="3" t="s">
        <v>133</v>
      </c>
      <c r="J28" s="14" t="str">
        <f t="shared" si="0"/>
        <v/>
      </c>
      <c r="K28" s="12" t="str">
        <f t="shared" si="1"/>
        <v>No</v>
      </c>
    </row>
    <row r="29" spans="1:11">
      <c r="A29" s="2" t="s">
        <v>134</v>
      </c>
      <c r="B29" s="2" t="s">
        <v>106</v>
      </c>
      <c r="C29" s="10">
        <v>46308</v>
      </c>
      <c r="D29" s="11" t="s">
        <v>135</v>
      </c>
      <c r="E29" s="13" t="s">
        <v>103</v>
      </c>
      <c r="F29" s="10">
        <v>46322</v>
      </c>
      <c r="G29" s="12" t="s">
        <v>58</v>
      </c>
      <c r="H29" s="10"/>
      <c r="I29" s="3" t="s">
        <v>136</v>
      </c>
      <c r="J29" s="14" t="str">
        <f t="shared" si="0"/>
        <v/>
      </c>
      <c r="K29" s="12" t="str">
        <f t="shared" si="1"/>
        <v>No</v>
      </c>
    </row>
    <row r="30" spans="1:11">
      <c r="A30" s="2" t="s">
        <v>137</v>
      </c>
      <c r="B30" s="2" t="s">
        <v>138</v>
      </c>
      <c r="C30" s="10">
        <v>46300</v>
      </c>
      <c r="D30" s="11" t="s">
        <v>139</v>
      </c>
      <c r="E30" s="13" t="s">
        <v>111</v>
      </c>
      <c r="F30" s="10">
        <v>46302</v>
      </c>
      <c r="G30" s="12" t="s">
        <v>41</v>
      </c>
      <c r="H30" s="10">
        <v>46302</v>
      </c>
      <c r="I30" s="3" t="s">
        <v>140</v>
      </c>
      <c r="J30" s="14" t="str">
        <f t="shared" si="0"/>
        <v/>
      </c>
      <c r="K30" s="12" t="str">
        <f t="shared" si="1"/>
        <v>No</v>
      </c>
    </row>
    <row r="31" spans="1:11">
      <c r="A31" s="2" t="s">
        <v>141</v>
      </c>
      <c r="B31" s="2" t="s">
        <v>138</v>
      </c>
      <c r="C31" s="10">
        <v>46302</v>
      </c>
      <c r="D31" s="11" t="s">
        <v>142</v>
      </c>
      <c r="E31" s="13" t="s">
        <v>111</v>
      </c>
      <c r="F31" s="10">
        <v>46303</v>
      </c>
      <c r="G31" s="12" t="s">
        <v>41</v>
      </c>
      <c r="H31" s="10">
        <v>46303</v>
      </c>
      <c r="I31" s="3" t="s">
        <v>143</v>
      </c>
      <c r="J31" s="14" t="str">
        <f t="shared" si="0"/>
        <v/>
      </c>
      <c r="K31" s="12" t="str">
        <f t="shared" si="1"/>
        <v>No</v>
      </c>
    </row>
    <row r="32" spans="1:11">
      <c r="A32" s="2" t="s">
        <v>144</v>
      </c>
      <c r="B32" s="2" t="s">
        <v>138</v>
      </c>
      <c r="C32" s="10">
        <v>46303</v>
      </c>
      <c r="D32" s="11" t="s">
        <v>145</v>
      </c>
      <c r="E32" s="13" t="s">
        <v>115</v>
      </c>
      <c r="F32" s="10">
        <v>46304</v>
      </c>
      <c r="G32" s="12" t="s">
        <v>41</v>
      </c>
      <c r="H32" s="10">
        <v>46304</v>
      </c>
      <c r="I32" s="3"/>
      <c r="J32" s="14" t="str">
        <f t="shared" si="0"/>
        <v/>
      </c>
      <c r="K32" s="12" t="str">
        <f t="shared" si="1"/>
        <v>No</v>
      </c>
    </row>
    <row r="33" spans="1:11">
      <c r="A33" s="2" t="s">
        <v>146</v>
      </c>
      <c r="B33" s="2" t="s">
        <v>138</v>
      </c>
      <c r="C33" s="10">
        <v>46304</v>
      </c>
      <c r="D33" s="11" t="s">
        <v>147</v>
      </c>
      <c r="E33" s="13" t="s">
        <v>62</v>
      </c>
      <c r="F33" s="10">
        <v>46307</v>
      </c>
      <c r="G33" s="12" t="s">
        <v>41</v>
      </c>
      <c r="H33" s="10">
        <v>46307</v>
      </c>
      <c r="I33" s="3"/>
      <c r="J33" s="14" t="str">
        <f t="shared" si="0"/>
        <v/>
      </c>
      <c r="K33" s="12" t="str">
        <f t="shared" si="1"/>
        <v>No</v>
      </c>
    </row>
    <row r="34" spans="1:11">
      <c r="A34" s="2" t="s">
        <v>148</v>
      </c>
      <c r="B34" s="2" t="s">
        <v>138</v>
      </c>
      <c r="C34" s="10">
        <v>46307</v>
      </c>
      <c r="D34" s="11" t="s">
        <v>149</v>
      </c>
      <c r="E34" s="13" t="s">
        <v>111</v>
      </c>
      <c r="F34" s="10">
        <v>46309</v>
      </c>
      <c r="G34" s="12" t="s">
        <v>41</v>
      </c>
      <c r="H34" s="10">
        <v>46309</v>
      </c>
      <c r="I34" s="3" t="s">
        <v>150</v>
      </c>
      <c r="J34" s="14" t="str">
        <f t="shared" si="0"/>
        <v/>
      </c>
      <c r="K34" s="12" t="str">
        <f t="shared" si="1"/>
        <v>No</v>
      </c>
    </row>
    <row r="35" spans="1:11">
      <c r="A35" s="2" t="s">
        <v>151</v>
      </c>
      <c r="B35" s="2" t="s">
        <v>138</v>
      </c>
      <c r="C35" s="10">
        <v>46308</v>
      </c>
      <c r="D35" s="11" t="s">
        <v>152</v>
      </c>
      <c r="E35" s="13" t="s">
        <v>119</v>
      </c>
      <c r="F35" s="10">
        <v>46310</v>
      </c>
      <c r="G35" s="12" t="s">
        <v>58</v>
      </c>
      <c r="H35" s="10"/>
      <c r="I35" s="3" t="s">
        <v>153</v>
      </c>
      <c r="J35" s="14">
        <f t="shared" si="0"/>
        <v>4</v>
      </c>
      <c r="K35" s="12" t="str">
        <f t="shared" si="1"/>
        <v>Yes</v>
      </c>
    </row>
    <row r="36" spans="1:11">
      <c r="A36" s="2" t="s">
        <v>154</v>
      </c>
      <c r="B36" s="2" t="s">
        <v>138</v>
      </c>
      <c r="C36" s="10">
        <v>46308</v>
      </c>
      <c r="D36" s="11" t="s">
        <v>155</v>
      </c>
      <c r="E36" s="13" t="s">
        <v>86</v>
      </c>
      <c r="F36" s="10">
        <v>46309</v>
      </c>
      <c r="G36" s="12" t="s">
        <v>41</v>
      </c>
      <c r="H36" s="10">
        <v>46309</v>
      </c>
      <c r="I36" s="3" t="s">
        <v>156</v>
      </c>
      <c r="J36" s="14" t="str">
        <f t="shared" si="0"/>
        <v/>
      </c>
      <c r="K36" s="12" t="str">
        <f t="shared" si="1"/>
        <v>No</v>
      </c>
    </row>
    <row r="37" spans="1:11">
      <c r="A37" s="2" t="s">
        <v>157</v>
      </c>
      <c r="B37" s="2" t="s">
        <v>138</v>
      </c>
      <c r="C37" s="10">
        <v>46309</v>
      </c>
      <c r="D37" s="11" t="s">
        <v>158</v>
      </c>
      <c r="E37" s="13" t="s">
        <v>86</v>
      </c>
      <c r="F37" s="10">
        <v>46310</v>
      </c>
      <c r="G37" s="12" t="s">
        <v>41</v>
      </c>
      <c r="H37" s="10">
        <v>46310</v>
      </c>
      <c r="I37" s="3"/>
      <c r="J37" s="14" t="str">
        <f t="shared" si="0"/>
        <v/>
      </c>
      <c r="K37" s="12" t="str">
        <f t="shared" si="1"/>
        <v>No</v>
      </c>
    </row>
    <row r="38" spans="1:11">
      <c r="A38" s="2" t="s">
        <v>159</v>
      </c>
      <c r="B38" s="2" t="s">
        <v>138</v>
      </c>
      <c r="C38" s="10">
        <v>46310</v>
      </c>
      <c r="D38" s="11" t="s">
        <v>160</v>
      </c>
      <c r="E38" s="13" t="s">
        <v>40</v>
      </c>
      <c r="F38" s="10">
        <v>46311</v>
      </c>
      <c r="G38" s="12" t="s">
        <v>58</v>
      </c>
      <c r="H38" s="10"/>
      <c r="I38" s="3" t="s">
        <v>161</v>
      </c>
      <c r="J38" s="14">
        <f t="shared" si="0"/>
        <v>3</v>
      </c>
      <c r="K38" s="12" t="str">
        <f t="shared" si="1"/>
        <v>Yes</v>
      </c>
    </row>
    <row r="39" spans="1:11">
      <c r="A39" s="2" t="s">
        <v>162</v>
      </c>
      <c r="B39" s="2" t="s">
        <v>138</v>
      </c>
      <c r="C39" s="10">
        <v>46310</v>
      </c>
      <c r="D39" s="11" t="s">
        <v>163</v>
      </c>
      <c r="E39" s="13" t="s">
        <v>40</v>
      </c>
      <c r="F39" s="10">
        <v>46316</v>
      </c>
      <c r="G39" s="12" t="s">
        <v>54</v>
      </c>
      <c r="H39" s="10"/>
      <c r="I39" s="3"/>
      <c r="J39" s="14" t="str">
        <f t="shared" si="0"/>
        <v/>
      </c>
      <c r="K39" s="12" t="str">
        <f t="shared" si="1"/>
        <v>No</v>
      </c>
    </row>
    <row r="40" spans="1:11">
      <c r="A40" s="2" t="s">
        <v>164</v>
      </c>
      <c r="B40" s="2" t="s">
        <v>138</v>
      </c>
      <c r="C40" s="10">
        <v>46311</v>
      </c>
      <c r="D40" s="11" t="s">
        <v>165</v>
      </c>
      <c r="E40" s="13" t="s">
        <v>111</v>
      </c>
      <c r="F40" s="10">
        <v>46317</v>
      </c>
      <c r="G40" s="12" t="s">
        <v>54</v>
      </c>
      <c r="H40" s="10"/>
      <c r="I40" s="3" t="s">
        <v>166</v>
      </c>
      <c r="J40" s="14" t="str">
        <f t="shared" si="0"/>
        <v/>
      </c>
      <c r="K40" s="12" t="str">
        <f t="shared" si="1"/>
        <v>No</v>
      </c>
    </row>
    <row r="41" spans="1:11">
      <c r="A41" s="2" t="s">
        <v>167</v>
      </c>
      <c r="B41" s="2" t="s">
        <v>138</v>
      </c>
      <c r="C41" s="10">
        <v>46311</v>
      </c>
      <c r="D41" s="11" t="s">
        <v>168</v>
      </c>
      <c r="E41" s="13" t="s">
        <v>103</v>
      </c>
      <c r="F41" s="10">
        <v>46318</v>
      </c>
      <c r="G41" s="12" t="s">
        <v>58</v>
      </c>
      <c r="H41" s="10"/>
      <c r="I41" s="3"/>
      <c r="J41" s="14" t="str">
        <f t="shared" si="0"/>
        <v/>
      </c>
      <c r="K41" s="12" t="str">
        <f t="shared" si="1"/>
        <v>No</v>
      </c>
    </row>
    <row r="42" spans="1:11">
      <c r="A42" s="2" t="s">
        <v>169</v>
      </c>
      <c r="B42" s="2" t="s">
        <v>138</v>
      </c>
      <c r="C42" s="10">
        <v>46314</v>
      </c>
      <c r="D42" s="11" t="s">
        <v>170</v>
      </c>
      <c r="E42" s="13" t="s">
        <v>62</v>
      </c>
      <c r="F42" s="10">
        <v>46317</v>
      </c>
      <c r="G42" s="12" t="s">
        <v>58</v>
      </c>
      <c r="H42" s="10"/>
      <c r="I42" s="3"/>
      <c r="J42" s="14" t="str">
        <f t="shared" si="0"/>
        <v/>
      </c>
      <c r="K42" s="12" t="str">
        <f t="shared" si="1"/>
        <v>No</v>
      </c>
    </row>
  </sheetData>
  <mergeCells count="1">
    <mergeCell ref="A1:K1"/>
  </mergeCells>
  <conditionalFormatting sqref="K3:K42">
    <cfRule type="cellIs" dxfId="13" priority="1" operator="equal">
      <formula>"Yes"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79F7-A5AC-4462-BA3C-E411D2C68A9C}">
  <dimension ref="A1:E2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10.7109375" customWidth="1"/>
    <col min="3" max="3" width="18.7109375" customWidth="1"/>
    <col min="4" max="5" width="10.7109375" customWidth="1"/>
  </cols>
  <sheetData>
    <row r="1" spans="1:5" ht="18.75">
      <c r="A1" s="25" t="s">
        <v>171</v>
      </c>
      <c r="B1" s="25"/>
      <c r="C1" s="25"/>
      <c r="D1" s="25"/>
      <c r="E1" s="25"/>
    </row>
    <row r="2" spans="1:5">
      <c r="A2" s="15" t="s">
        <v>27</v>
      </c>
      <c r="B2" s="15" t="s">
        <v>172</v>
      </c>
      <c r="C2" s="15" t="s">
        <v>173</v>
      </c>
      <c r="D2" s="15" t="s">
        <v>41</v>
      </c>
      <c r="E2" s="15" t="s">
        <v>174</v>
      </c>
    </row>
    <row r="3" spans="1:5">
      <c r="A3" s="1" t="s">
        <v>138</v>
      </c>
      <c r="B3" s="17">
        <f>COUNTIFS(Actions!$B$3:$B$42,A3)</f>
        <v>13</v>
      </c>
      <c r="C3" s="17">
        <f>COUNTIFS(Actions!$B$3:$B$42,A3,Actions!$G$3:$G$42,"&lt;&gt;Closed")</f>
        <v>6</v>
      </c>
      <c r="D3" s="17">
        <f>COUNTIFS(Actions!$B$3:$B$42,A3,Actions!$G$3:$G$42,"Closed")</f>
        <v>7</v>
      </c>
      <c r="E3" s="17">
        <f>COUNTIFS(Actions!$B$3:$B$42,A3,Actions!$K$3:$K$42,"Yes")</f>
        <v>2</v>
      </c>
    </row>
    <row r="4" spans="1:5">
      <c r="A4" s="20" t="s">
        <v>106</v>
      </c>
      <c r="B4" s="21">
        <f>COUNTIFS(Actions!$B$3:$B$42,A4)</f>
        <v>9</v>
      </c>
      <c r="C4" s="21">
        <f>COUNTIFS(Actions!$B$3:$B$42,A4,Actions!$G$3:$G$42,"&lt;&gt;Closed")</f>
        <v>6</v>
      </c>
      <c r="D4" s="21">
        <f>COUNTIFS(Actions!$B$3:$B$42,A4,Actions!$G$3:$G$42,"Closed")</f>
        <v>3</v>
      </c>
      <c r="E4" s="21">
        <f>COUNTIFS(Actions!$B$3:$B$42,A4,Actions!$K$3:$K$42,"Yes")</f>
        <v>2</v>
      </c>
    </row>
    <row r="5" spans="1:5">
      <c r="A5" s="1" t="s">
        <v>71</v>
      </c>
      <c r="B5" s="17">
        <f>COUNTIFS(Actions!$B$3:$B$42,A5)</f>
        <v>10</v>
      </c>
      <c r="C5" s="17">
        <f>COUNTIFS(Actions!$B$3:$B$42,A5,Actions!$G$3:$G$42,"&lt;&gt;Closed")</f>
        <v>8</v>
      </c>
      <c r="D5" s="17">
        <f>COUNTIFS(Actions!$B$3:$B$42,A5,Actions!$G$3:$G$42,"Closed")</f>
        <v>2</v>
      </c>
      <c r="E5" s="17">
        <f>COUNTIFS(Actions!$B$3:$B$42,A5,Actions!$K$3:$K$42,"Yes")</f>
        <v>5</v>
      </c>
    </row>
    <row r="6" spans="1:5">
      <c r="A6" s="20" t="s">
        <v>38</v>
      </c>
      <c r="B6" s="21">
        <f>COUNTIFS(Actions!$B$3:$B$42,A6)</f>
        <v>8</v>
      </c>
      <c r="C6" s="21">
        <f>COUNTIFS(Actions!$B$3:$B$42,A6,Actions!$G$3:$G$42,"&lt;&gt;Closed")</f>
        <v>4</v>
      </c>
      <c r="D6" s="21">
        <f>COUNTIFS(Actions!$B$3:$B$42,A6,Actions!$G$3:$G$42,"Closed")</f>
        <v>4</v>
      </c>
      <c r="E6" s="21">
        <f>COUNTIFS(Actions!$B$3:$B$42,A6,Actions!$K$3:$K$42,"Yes")</f>
        <v>2</v>
      </c>
    </row>
    <row r="7" spans="1:5">
      <c r="A7" s="18" t="s">
        <v>172</v>
      </c>
      <c r="B7" s="19">
        <f>SUM(B3:B6)</f>
        <v>40</v>
      </c>
      <c r="C7" s="19">
        <f>SUM(C3:C6)</f>
        <v>24</v>
      </c>
      <c r="D7" s="19">
        <f>SUM(D3:D6)</f>
        <v>16</v>
      </c>
      <c r="E7" s="19">
        <f>SUM(E3:E6)</f>
        <v>11</v>
      </c>
    </row>
    <row r="8" spans="1:5">
      <c r="A8" s="1"/>
      <c r="B8" s="17"/>
      <c r="C8" s="17"/>
      <c r="D8" s="17"/>
      <c r="E8" s="17"/>
    </row>
    <row r="9" spans="1:5">
      <c r="A9" s="15" t="s">
        <v>30</v>
      </c>
      <c r="B9" s="16" t="s">
        <v>172</v>
      </c>
      <c r="C9" s="16" t="s">
        <v>173</v>
      </c>
      <c r="D9" s="16" t="s">
        <v>41</v>
      </c>
      <c r="E9" s="16" t="s">
        <v>174</v>
      </c>
    </row>
    <row r="10" spans="1:5">
      <c r="A10" s="1" t="s">
        <v>111</v>
      </c>
      <c r="B10" s="17">
        <f>COUNTIFS(Actions!$E$3:$E$42,A10)</f>
        <v>6</v>
      </c>
      <c r="C10" s="17">
        <f>COUNTIFS(Actions!$E$3:$E$42,A10,Actions!$G$3:$G$42,"&lt;&gt;Closed")</f>
        <v>2</v>
      </c>
      <c r="D10" s="17">
        <f>COUNTIFS(Actions!$E$3:$E$42,A10,Actions!$G$3:$G$42,"Closed")</f>
        <v>4</v>
      </c>
      <c r="E10" s="17">
        <f>COUNTIFS(Actions!$E$3:$E$42,A10,Actions!$K$3:$K$42,"Yes")</f>
        <v>0</v>
      </c>
    </row>
    <row r="11" spans="1:5">
      <c r="A11" s="20" t="s">
        <v>45</v>
      </c>
      <c r="B11" s="21">
        <f>COUNTIFS(Actions!$E$3:$E$42,A11)</f>
        <v>1</v>
      </c>
      <c r="C11" s="21">
        <f>COUNTIFS(Actions!$E$3:$E$42,A11,Actions!$G$3:$G$42,"&lt;&gt;Closed")</f>
        <v>0</v>
      </c>
      <c r="D11" s="21">
        <f>COUNTIFS(Actions!$E$3:$E$42,A11,Actions!$G$3:$G$42,"Closed")</f>
        <v>1</v>
      </c>
      <c r="E11" s="21">
        <f>COUNTIFS(Actions!$E$3:$E$42,A11,Actions!$K$3:$K$42,"Yes")</f>
        <v>0</v>
      </c>
    </row>
    <row r="12" spans="1:5">
      <c r="A12" s="1" t="s">
        <v>76</v>
      </c>
      <c r="B12" s="17">
        <f>COUNTIFS(Actions!$E$3:$E$42,A12)</f>
        <v>1</v>
      </c>
      <c r="C12" s="17">
        <f>COUNTIFS(Actions!$E$3:$E$42,A12,Actions!$G$3:$G$42,"&lt;&gt;Closed")</f>
        <v>1</v>
      </c>
      <c r="D12" s="17">
        <f>COUNTIFS(Actions!$E$3:$E$42,A12,Actions!$G$3:$G$42,"Closed")</f>
        <v>0</v>
      </c>
      <c r="E12" s="17">
        <f>COUNTIFS(Actions!$E$3:$E$42,A12,Actions!$K$3:$K$42,"Yes")</f>
        <v>1</v>
      </c>
    </row>
    <row r="13" spans="1:5">
      <c r="A13" s="20" t="s">
        <v>90</v>
      </c>
      <c r="B13" s="21">
        <f>COUNTIFS(Actions!$E$3:$E$42,A13)</f>
        <v>2</v>
      </c>
      <c r="C13" s="21">
        <f>COUNTIFS(Actions!$E$3:$E$42,A13,Actions!$G$3:$G$42,"&lt;&gt;Closed")</f>
        <v>2</v>
      </c>
      <c r="D13" s="21">
        <f>COUNTIFS(Actions!$E$3:$E$42,A13,Actions!$G$3:$G$42,"Closed")</f>
        <v>0</v>
      </c>
      <c r="E13" s="21">
        <f>COUNTIFS(Actions!$E$3:$E$42,A13,Actions!$K$3:$K$42,"Yes")</f>
        <v>2</v>
      </c>
    </row>
    <row r="14" spans="1:5">
      <c r="A14" s="1" t="s">
        <v>40</v>
      </c>
      <c r="B14" s="17">
        <f>COUNTIFS(Actions!$E$3:$E$42,A14)</f>
        <v>5</v>
      </c>
      <c r="C14" s="17">
        <f>COUNTIFS(Actions!$E$3:$E$42,A14,Actions!$G$3:$G$42,"&lt;&gt;Closed")</f>
        <v>3</v>
      </c>
      <c r="D14" s="17">
        <f>COUNTIFS(Actions!$E$3:$E$42,A14,Actions!$G$3:$G$42,"Closed")</f>
        <v>2</v>
      </c>
      <c r="E14" s="17">
        <f>COUNTIFS(Actions!$E$3:$E$42,A14,Actions!$K$3:$K$42,"Yes")</f>
        <v>2</v>
      </c>
    </row>
    <row r="15" spans="1:5">
      <c r="A15" s="20" t="s">
        <v>119</v>
      </c>
      <c r="B15" s="21">
        <f>COUNTIFS(Actions!$E$3:$E$42,A15)</f>
        <v>3</v>
      </c>
      <c r="C15" s="21">
        <f>COUNTIFS(Actions!$E$3:$E$42,A15,Actions!$G$3:$G$42,"&lt;&gt;Closed")</f>
        <v>2</v>
      </c>
      <c r="D15" s="21">
        <f>COUNTIFS(Actions!$E$3:$E$42,A15,Actions!$G$3:$G$42,"Closed")</f>
        <v>1</v>
      </c>
      <c r="E15" s="21">
        <f>COUNTIFS(Actions!$E$3:$E$42,A15,Actions!$K$3:$K$42,"Yes")</f>
        <v>1</v>
      </c>
    </row>
    <row r="16" spans="1:5">
      <c r="A16" s="1" t="s">
        <v>49</v>
      </c>
      <c r="B16" s="17">
        <f>COUNTIFS(Actions!$E$3:$E$42,A16)</f>
        <v>3</v>
      </c>
      <c r="C16" s="17">
        <f>COUNTIFS(Actions!$E$3:$E$42,A16,Actions!$G$3:$G$42,"&lt;&gt;Closed")</f>
        <v>1</v>
      </c>
      <c r="D16" s="17">
        <f>COUNTIFS(Actions!$E$3:$E$42,A16,Actions!$G$3:$G$42,"Closed")</f>
        <v>2</v>
      </c>
      <c r="E16" s="17">
        <f>COUNTIFS(Actions!$E$3:$E$42,A16,Actions!$K$3:$K$42,"Yes")</f>
        <v>1</v>
      </c>
    </row>
    <row r="17" spans="1:5">
      <c r="A17" s="20" t="s">
        <v>86</v>
      </c>
      <c r="B17" s="21">
        <f>COUNTIFS(Actions!$E$3:$E$42,A17)</f>
        <v>3</v>
      </c>
      <c r="C17" s="21">
        <f>COUNTIFS(Actions!$E$3:$E$42,A17,Actions!$G$3:$G$42,"&lt;&gt;Closed")</f>
        <v>0</v>
      </c>
      <c r="D17" s="21">
        <f>COUNTIFS(Actions!$E$3:$E$42,A17,Actions!$G$3:$G$42,"Closed")</f>
        <v>3</v>
      </c>
      <c r="E17" s="21">
        <f>COUNTIFS(Actions!$E$3:$E$42,A17,Actions!$K$3:$K$42,"Yes")</f>
        <v>0</v>
      </c>
    </row>
    <row r="18" spans="1:5">
      <c r="A18" s="1" t="s">
        <v>126</v>
      </c>
      <c r="B18" s="17">
        <f>COUNTIFS(Actions!$E$3:$E$42,A18)</f>
        <v>1</v>
      </c>
      <c r="C18" s="17">
        <f>COUNTIFS(Actions!$E$3:$E$42,A18,Actions!$G$3:$G$42,"&lt;&gt;Closed")</f>
        <v>1</v>
      </c>
      <c r="D18" s="17">
        <f>COUNTIFS(Actions!$E$3:$E$42,A18,Actions!$G$3:$G$42,"Closed")</f>
        <v>0</v>
      </c>
      <c r="E18" s="17">
        <f>COUNTIFS(Actions!$E$3:$E$42,A18,Actions!$K$3:$K$42,"Yes")</f>
        <v>0</v>
      </c>
    </row>
    <row r="19" spans="1:5">
      <c r="A19" s="20" t="s">
        <v>62</v>
      </c>
      <c r="B19" s="21">
        <f>COUNTIFS(Actions!$E$3:$E$42,A19)</f>
        <v>7</v>
      </c>
      <c r="C19" s="21">
        <f>COUNTIFS(Actions!$E$3:$E$42,A19,Actions!$G$3:$G$42,"&lt;&gt;Closed")</f>
        <v>5</v>
      </c>
      <c r="D19" s="21">
        <f>COUNTIFS(Actions!$E$3:$E$42,A19,Actions!$G$3:$G$42,"Closed")</f>
        <v>2</v>
      </c>
      <c r="E19" s="21">
        <f>COUNTIFS(Actions!$E$3:$E$42,A19,Actions!$K$3:$K$42,"Yes")</f>
        <v>0</v>
      </c>
    </row>
    <row r="20" spans="1:5">
      <c r="A20" s="1" t="s">
        <v>115</v>
      </c>
      <c r="B20" s="17">
        <f>COUNTIFS(Actions!$E$3:$E$42,A20)</f>
        <v>2</v>
      </c>
      <c r="C20" s="17">
        <f>COUNTIFS(Actions!$E$3:$E$42,A20,Actions!$G$3:$G$42,"&lt;&gt;Closed")</f>
        <v>1</v>
      </c>
      <c r="D20" s="17">
        <f>COUNTIFS(Actions!$E$3:$E$42,A20,Actions!$G$3:$G$42,"Closed")</f>
        <v>1</v>
      </c>
      <c r="E20" s="17">
        <f>COUNTIFS(Actions!$E$3:$E$42,A20,Actions!$K$3:$K$42,"Yes")</f>
        <v>1</v>
      </c>
    </row>
    <row r="21" spans="1:5">
      <c r="A21" s="20" t="s">
        <v>53</v>
      </c>
      <c r="B21" s="21">
        <f>COUNTIFS(Actions!$E$3:$E$42,A21)</f>
        <v>3</v>
      </c>
      <c r="C21" s="21">
        <f>COUNTIFS(Actions!$E$3:$E$42,A21,Actions!$G$3:$G$42,"&lt;&gt;Closed")</f>
        <v>3</v>
      </c>
      <c r="D21" s="21">
        <f>COUNTIFS(Actions!$E$3:$E$42,A21,Actions!$G$3:$G$42,"Closed")</f>
        <v>0</v>
      </c>
      <c r="E21" s="21">
        <f>COUNTIFS(Actions!$E$3:$E$42,A21,Actions!$K$3:$K$42,"Yes")</f>
        <v>3</v>
      </c>
    </row>
    <row r="22" spans="1:5">
      <c r="A22" s="1" t="s">
        <v>103</v>
      </c>
      <c r="B22" s="17">
        <f>COUNTIFS(Actions!$E$3:$E$42,A22)</f>
        <v>3</v>
      </c>
      <c r="C22" s="17">
        <f>COUNTIFS(Actions!$E$3:$E$42,A22,Actions!$G$3:$G$42,"&lt;&gt;Closed")</f>
        <v>3</v>
      </c>
      <c r="D22" s="17">
        <f>COUNTIFS(Actions!$E$3:$E$42,A22,Actions!$G$3:$G$42,"Closed")</f>
        <v>0</v>
      </c>
      <c r="E22" s="17">
        <f>COUNTIFS(Actions!$E$3:$E$42,A22,Actions!$K$3:$K$42,"Yes")</f>
        <v>0</v>
      </c>
    </row>
  </sheetData>
  <mergeCells count="1">
    <mergeCell ref="A1:E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i:0#.f|membership|loretteroos@microsoft.com</cp:lastModifiedBy>
  <cp:revision/>
  <dcterms:created xsi:type="dcterms:W3CDTF">2026-10-19T04:55:16Z</dcterms:created>
  <dcterms:modified xsi:type="dcterms:W3CDTF">2026-10-21T09:30:52Z</dcterms:modified>
  <cp:category/>
  <cp:contentStatus/>
</cp:coreProperties>
</file>