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xr:revisionPtr revIDLastSave="663" documentId="11_C233CB12FD4E810F97E819E7E0BCBE8359B1E8BC" xr6:coauthVersionLast="47" xr6:coauthVersionMax="47" xr10:uidLastSave="{138819BF-D849-4232-A567-177202F6ED03}"/>
  <bookViews>
    <workbookView xWindow="0" yWindow="0" windowWidth="0" windowHeight="0" xr2:uid="{00000000-000D-0000-FFFF-FFFF00000000}"/>
  </bookViews>
  <sheets>
    <sheet name="Read me" sheetId="1" r:id="rId1"/>
    <sheet name="Parameters" sheetId="2" r:id="rId2"/>
    <sheet name="Complexity Matrix" sheetId="3" r:id="rId3"/>
    <sheet name="Phase Overheads" sheetId="4" r:id="rId4"/>
    <sheet name="Estimat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5" l="1"/>
  <c r="B35" i="5"/>
  <c r="B34" i="5"/>
  <c r="B33" i="5"/>
  <c r="B32" i="5"/>
  <c r="B31" i="5"/>
  <c r="J27" i="5"/>
  <c r="I27" i="5"/>
  <c r="H27" i="5"/>
  <c r="G27" i="5"/>
  <c r="F27" i="5"/>
  <c r="E27" i="5"/>
  <c r="D27" i="5"/>
  <c r="C27" i="5"/>
  <c r="B27" i="5"/>
  <c r="J26" i="5"/>
  <c r="I26" i="5"/>
  <c r="H26" i="5"/>
  <c r="G26" i="5"/>
  <c r="F26" i="5"/>
  <c r="E26" i="5"/>
  <c r="D26" i="5"/>
  <c r="C26" i="5"/>
  <c r="B26" i="5"/>
  <c r="A26" i="5"/>
  <c r="J25" i="5"/>
  <c r="I25" i="5"/>
  <c r="H25" i="5"/>
  <c r="G25" i="5"/>
  <c r="F25" i="5"/>
  <c r="E25" i="5"/>
  <c r="D25" i="5"/>
  <c r="C25" i="5"/>
  <c r="B25" i="5"/>
  <c r="A25" i="5"/>
  <c r="J24" i="5"/>
  <c r="I24" i="5"/>
  <c r="H24" i="5"/>
  <c r="G24" i="5"/>
  <c r="F24" i="5"/>
  <c r="E24" i="5"/>
  <c r="D24" i="5"/>
  <c r="C24" i="5"/>
  <c r="B24" i="5"/>
  <c r="A24" i="5"/>
  <c r="J23" i="5"/>
  <c r="I23" i="5"/>
  <c r="H23" i="5"/>
  <c r="G23" i="5"/>
  <c r="F23" i="5"/>
  <c r="E23" i="5"/>
  <c r="D23" i="5"/>
  <c r="C23" i="5"/>
  <c r="B23" i="5"/>
  <c r="A23" i="5"/>
  <c r="J22" i="5"/>
  <c r="I22" i="5"/>
  <c r="H22" i="5"/>
  <c r="G22" i="5"/>
  <c r="F22" i="5"/>
  <c r="E22" i="5"/>
  <c r="D22" i="5"/>
  <c r="C22" i="5"/>
  <c r="B22" i="5"/>
  <c r="A22" i="5"/>
  <c r="J21" i="5"/>
  <c r="I21" i="5"/>
  <c r="H21" i="5"/>
  <c r="G21" i="5"/>
  <c r="F21" i="5"/>
  <c r="E21" i="5"/>
  <c r="D21" i="5"/>
  <c r="C21" i="5"/>
  <c r="B21" i="5"/>
  <c r="A21" i="5"/>
  <c r="H18" i="5"/>
  <c r="G18" i="5"/>
  <c r="E18" i="5"/>
  <c r="D18" i="5"/>
  <c r="C18" i="5"/>
  <c r="B18" i="5"/>
  <c r="H17" i="5"/>
  <c r="G17" i="5"/>
  <c r="F17" i="5"/>
  <c r="E17" i="5"/>
  <c r="H16" i="5"/>
  <c r="G16" i="5"/>
  <c r="F16" i="5"/>
  <c r="E16" i="5"/>
  <c r="H15" i="5"/>
  <c r="G15" i="5"/>
  <c r="F15" i="5"/>
  <c r="E15" i="5"/>
  <c r="H14" i="5"/>
  <c r="G14" i="5"/>
  <c r="F14" i="5"/>
  <c r="E14" i="5"/>
  <c r="H13" i="5"/>
  <c r="G13" i="5"/>
  <c r="F13" i="5"/>
  <c r="E13" i="5"/>
  <c r="H12" i="5"/>
  <c r="G12" i="5"/>
  <c r="F12" i="5"/>
  <c r="E12" i="5"/>
  <c r="H11" i="5"/>
  <c r="G11" i="5"/>
  <c r="F11" i="5"/>
  <c r="E11" i="5"/>
  <c r="H10" i="5"/>
  <c r="G10" i="5"/>
  <c r="F10" i="5"/>
  <c r="E10" i="5"/>
  <c r="H9" i="5"/>
  <c r="G9" i="5"/>
  <c r="F9" i="5"/>
  <c r="E9" i="5"/>
  <c r="B8" i="4"/>
</calcChain>
</file>

<file path=xl/sharedStrings.xml><?xml version="1.0" encoding="utf-8"?>
<sst xmlns="http://schemas.openxmlformats.org/spreadsheetml/2006/main" count="154" uniqueCount="118">
  <si>
    <t>Frontier Consulting – D365 Estimation Model</t>
  </si>
  <si>
    <t>Fictitious test data – Copilot for Frontier Consultancy scenario testing</t>
  </si>
  <si>
    <t>Item</t>
  </si>
  <si>
    <t>Detail</t>
  </si>
  <si>
    <t>Purpose</t>
  </si>
  <si>
    <t>Frontier Consulting's practice estimation template for Microsoft Dynamics 365 bids (Business Applications practice, owner Lorette Roos). It converts counts of build items by complexity into effort days, adds phase overheads by role and prices the result at the standard day rates. Used in test scenarios where Copilot estimates the Zava bid (ZAV-RFP-2026-014).</t>
  </si>
  <si>
    <t>Test-data notice</t>
  </si>
  <si>
    <t>Fictitious test data – Copilot for Frontier Consultancy scenario testing. All companies, people and figures are fictitious.</t>
  </si>
  <si>
    <t>How to use</t>
  </si>
  <si>
    <t>1) Check day rates on Parameters. 2) Check effort days on Complexity Matrix. 3) Check overhead percentages on Phase Overheads. 4) On Estimate, enter counts of Simple / Medium / Complex items in the blue cells. Effort by role, cost and checks calculate automatically.</t>
  </si>
  <si>
    <t>Method</t>
  </si>
  <si>
    <t>Build days = Σ(count × matrix days). Architect design &amp; review = build days × architect % for the item type. Overheads (PM 12%, Testing 20%, Training 6%) are a % of total build &amp; design days, assigned to one role each. Contingency 10% is applied to every role's subtotal. Cost = total days × role day rate.</t>
  </si>
  <si>
    <t>Colour legend</t>
  </si>
  <si>
    <t>Blue font = input you may change · Black = formula · Green = value pulled from another sheet · Teal fill = totals</t>
  </si>
  <si>
    <t>Day rates (AED)</t>
  </si>
  <si>
    <t>Architect 6,500 · Functional consultant 5,200 · Developer 4,800 · PM 6,000 · Data 4,800 · Change 4,500 (source: Frontier 2026 rate card)</t>
  </si>
  <si>
    <t>Sheet map</t>
  </si>
  <si>
    <t xml:space="preserve">  Parameters</t>
  </si>
  <si>
    <t>Day rates by role (AED).</t>
  </si>
  <si>
    <t xml:space="preserve">  Complexity Matrix</t>
  </si>
  <si>
    <t>Effort days per item type × complexity, primary role and architect %.</t>
  </si>
  <si>
    <t xml:space="preserve">  Phase Overheads</t>
  </si>
  <si>
    <t>PM, Testing, Training and Contingency percentages and the role each is assigned to.</t>
  </si>
  <si>
    <t xml:space="preserve">  Estimate</t>
  </si>
  <si>
    <t>Item counts → build days → overheads by role → total days and cost, with reconciliation checks.</t>
  </si>
  <si>
    <t>Parameters – day rates (AED)</t>
  </si>
  <si>
    <t>Blue = input you may change · Fictitious test data – Copilot for Frontier Consultancy scenario testing</t>
  </si>
  <si>
    <t>Role</t>
  </si>
  <si>
    <t>Day rate (AED)</t>
  </si>
  <si>
    <t>Typical Frontier staff</t>
  </si>
  <si>
    <t>Notes</t>
  </si>
  <si>
    <t>Architect</t>
  </si>
  <si>
    <t>Omar Khalil (CE + Power Platform), James Okafor (F&amp;O / Finance)</t>
  </si>
  <si>
    <t>Standard 2026 practice rate, excl. VAT</t>
  </si>
  <si>
    <t>Functional consultant</t>
  </si>
  <si>
    <t>Lina Mansour, Rahul Verma</t>
  </si>
  <si>
    <t>Developer</t>
  </si>
  <si>
    <t>Arjun Mehta</t>
  </si>
  <si>
    <t>PM</t>
  </si>
  <si>
    <t>Priya Nair</t>
  </si>
  <si>
    <t>Data</t>
  </si>
  <si>
    <t>Noura Al Hashimi</t>
  </si>
  <si>
    <t>Change</t>
  </si>
  <si>
    <t>Tom Becker</t>
  </si>
  <si>
    <t>Currency</t>
  </si>
  <si>
    <t>AED</t>
  </si>
  <si>
    <t>Working days per week</t>
  </si>
  <si>
    <t>Rate card effective</t>
  </si>
  <si>
    <t>Complexity matrix – effort days per item</t>
  </si>
  <si>
    <t>Days of build effort per item, by complexity · Blue = input · Fictitious test data – Copilot for Frontier Consultancy scenario testing</t>
  </si>
  <si>
    <t>Item type</t>
  </si>
  <si>
    <t>Simple (days)</t>
  </si>
  <si>
    <t>Medium (days)</t>
  </si>
  <si>
    <t>Complex (days)</t>
  </si>
  <si>
    <t>Primary role</t>
  </si>
  <si>
    <t>Architect design &amp; review (% of build)</t>
  </si>
  <si>
    <t>Definition / examples</t>
  </si>
  <si>
    <t>Configuration</t>
  </si>
  <si>
    <t>Entity/table, field, business rule, security role or parameter set-up</t>
  </si>
  <si>
    <t>Extension</t>
  </si>
  <si>
    <t>Custom code or ISV extension to standard process</t>
  </si>
  <si>
    <t>Integration</t>
  </si>
  <si>
    <t>Interface to an external system (API, file, dual-write customisation)</t>
  </si>
  <si>
    <t>Report</t>
  </si>
  <si>
    <t>Power BI report, SSRS / Word template, financial report</t>
  </si>
  <si>
    <t>Data migration object</t>
  </si>
  <si>
    <t>One entity migrated end-to-end: extract, map, cleanse, load, reconcile</t>
  </si>
  <si>
    <t>Form/view</t>
  </si>
  <si>
    <t>Main form, quick-create form, view or dashboard</t>
  </si>
  <si>
    <t>Workflow/Power Automate</t>
  </si>
  <si>
    <t>Approval workflow, Power Automate cloud flow, BPF</t>
  </si>
  <si>
    <t>Plug-in</t>
  </si>
  <si>
    <t>C# Dataverse plug-in or custom API</t>
  </si>
  <si>
    <t>X++ class</t>
  </si>
  <si>
    <t>X++ class, chain-of-command extension or batch job in F&amp;O</t>
  </si>
  <si>
    <t>Phase overheads – applied to total build &amp; design days</t>
  </si>
  <si>
    <t>Blue = input · Fictitious test data – Copilot for Frontier Consultancy scenario testing</t>
  </si>
  <si>
    <t>Overhead</t>
  </si>
  <si>
    <t>% of build effort</t>
  </si>
  <si>
    <t>Assigned role</t>
  </si>
  <si>
    <t>Basis</t>
  </si>
  <si>
    <t>Project management</t>
  </si>
  <si>
    <t>% of total build &amp; design days (Estimate!H18)</t>
  </si>
  <si>
    <t>Testing</t>
  </si>
  <si>
    <t>% of total build &amp; design days – SIT, UAT support, regression</t>
  </si>
  <si>
    <t>Training</t>
  </si>
  <si>
    <t>% of total build &amp; design days – train-the-trainer, materials</t>
  </si>
  <si>
    <t>Contingency</t>
  </si>
  <si>
    <t>All roles (pro rata)</t>
  </si>
  <si>
    <t>% of each role's subtotal (build + overheads)</t>
  </si>
  <si>
    <t>Total overhead before contingency</t>
  </si>
  <si>
    <t>Estimate – effort and cost by role</t>
  </si>
  <si>
    <t>Enter item counts in blue cells; everything else is calculated · Fictitious test data – Copilot for Frontier Consultancy scenario testing</t>
  </si>
  <si>
    <t>Customer</t>
  </si>
  <si>
    <t>Zava LLC</t>
  </si>
  <si>
    <t>Opportunity / bid ref</t>
  </si>
  <si>
    <t>ZAV-RFP-2026-014</t>
  </si>
  <si>
    <t>Estimate status</t>
  </si>
  <si>
    <t>Worked example with illustrative counts – replace counts with the RFP-driven item list</t>
  </si>
  <si>
    <t>Simple (count)</t>
  </si>
  <si>
    <t>Medium (count)</t>
  </si>
  <si>
    <t>Complex (count)</t>
  </si>
  <si>
    <t>Build days</t>
  </si>
  <si>
    <t>Architect days</t>
  </si>
  <si>
    <t>Total build &amp; design days</t>
  </si>
  <si>
    <t>Total</t>
  </si>
  <si>
    <t>Build &amp; design days</t>
  </si>
  <si>
    <t>Subtotal days</t>
  </si>
  <si>
    <t>Total days</t>
  </si>
  <si>
    <t>Cost (AED)</t>
  </si>
  <si>
    <t>← blended rate</t>
  </si>
  <si>
    <t>Key results</t>
  </si>
  <si>
    <t>Total effort (days)</t>
  </si>
  <si>
    <t>Total fees (AED)</t>
  </si>
  <si>
    <t>Blended day rate (AED)</t>
  </si>
  <si>
    <t>Overheads as % of build</t>
  </si>
  <si>
    <t>Check: overheads reconcile (should be 0)</t>
  </si>
  <si>
    <t>Check: build days reconcile (should be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</si>
</sst>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 mmm\ yyyy"/>
    <numFmt numFmtId="165" formatCode="0.0"/>
    <numFmt numFmtId="166" formatCode="#,##0.0"/>
    <numFmt numFmtId="167" formatCode="0.0%"/>
    <numFmt numFmtId="168" formatCode="0.00;\-0.00;0"/>
  </numFmts>
  <fonts count="9">
    <font>
      <sz val="11"/>
      <color theme="1"/>
      <name val="Calibri"/>
      <family val="2"/>
      <scheme val="minor"/>
    </font>
    <font>
      <b/>
      <sz val="16"/>
      <color rgb="FF1F2A5C"/>
      <name val="Aptos"/>
    </font>
    <font>
      <b/>
      <sz val="11"/>
      <color rgb="FFFFFFFF"/>
      <name val="Aptos"/>
    </font>
    <font>
      <sz val="11"/>
      <color theme="1"/>
      <name val="Aptos"/>
    </font>
    <font>
      <b/>
      <sz val="11"/>
      <color theme="1"/>
      <name val="Aptos"/>
    </font>
    <font>
      <i/>
      <sz val="9"/>
      <color rgb="FF6B7280"/>
      <name val="Aptos"/>
    </font>
    <font>
      <b/>
      <sz val="14"/>
      <color rgb="FF1F2A5C"/>
      <name val="Aptos"/>
    </font>
    <font>
      <sz val="11"/>
      <color rgb="FF0000FF"/>
      <name val="Aptos"/>
    </font>
    <font>
      <sz val="11"/>
      <color rgb="FF008000"/>
      <name val="Aptos"/>
    </font>
  </fonts>
  <fills count="5">
    <fill>
      <patternFill patternType="none"/>
    </fill>
    <fill>
      <patternFill patternType="gray125"/>
    </fill>
    <fill>
      <patternFill patternType="solid">
        <fgColor rgb="FF1F2A5C"/>
        <bgColor indexed="64"/>
      </patternFill>
    </fill>
    <fill>
      <patternFill patternType="solid">
        <fgColor rgb="FFEEF1F8"/>
        <bgColor indexed="64"/>
      </patternFill>
    </fill>
    <fill>
      <patternFill patternType="solid">
        <fgColor rgb="FF4FD1C5"/>
        <bgColor indexed="64"/>
      </patternFill>
    </fill>
  </fills>
  <borders count="9">
    <border>
      <left/>
      <right/>
      <top/>
      <bottom/>
      <diagonal/>
    </border>
    <border>
      <left/>
      <right/>
      <top style="thin">
        <color rgb="FFD1D5DB"/>
      </top>
      <bottom/>
      <diagonal/>
    </border>
    <border>
      <left/>
      <right/>
      <top/>
      <bottom style="thin">
        <color rgb="FFD1D5DB"/>
      </bottom>
      <diagonal/>
    </border>
    <border>
      <left style="thin">
        <color rgb="FFD1D5DB"/>
      </left>
      <right/>
      <top style="thin">
        <color rgb="FFD1D5DB"/>
      </top>
      <bottom/>
      <diagonal/>
    </border>
    <border>
      <left style="thin">
        <color rgb="FFD1D5DB"/>
      </left>
      <right/>
      <top/>
      <bottom/>
      <diagonal/>
    </border>
    <border>
      <left style="thin">
        <color rgb="FFD1D5DB"/>
      </left>
      <right/>
      <top/>
      <bottom style="thin">
        <color rgb="FFD1D5DB"/>
      </bottom>
      <diagonal/>
    </border>
    <border>
      <left/>
      <right style="thin">
        <color rgb="FFD1D5DB"/>
      </right>
      <top style="thin">
        <color rgb="FFD1D5DB"/>
      </top>
      <bottom/>
      <diagonal/>
    </border>
    <border>
      <left/>
      <right style="thin">
        <color rgb="FFD1D5DB"/>
      </right>
      <top/>
      <bottom/>
      <diagonal/>
    </border>
    <border>
      <left/>
      <right style="thin">
        <color rgb="FFD1D5DB"/>
      </right>
      <top/>
      <bottom style="thin">
        <color rgb="FFD1D5DB"/>
      </bottom>
      <diagonal/>
    </border>
  </borders>
  <cellStyleXfs count="1">
    <xf numFmtId="0" fontId="0" fillId="0" borderId="0"/>
  </cellStyleXfs>
  <cellXfs count="74">
    <xf numFmtId="0" fontId="0" fillId="0" borderId="0" xfId="0"/>
    <xf numFmtId="0" fontId="2" fillId="2" borderId="0" xfId="0" applyFont="1" applyFill="1" applyAlignment="1">
      <alignment horizontal="center" vertical="center" wrapText="1"/>
    </xf>
    <xf numFmtId="0" fontId="3" fillId="0" borderId="0" xfId="0" applyFont="1"/>
    <xf numFmtId="0" fontId="4" fillId="0" borderId="3" xfId="0" applyFont="1" applyBorder="1" applyAlignment="1">
      <alignment vertical="top"/>
    </xf>
    <xf numFmtId="0" fontId="3" fillId="0" borderId="6" xfId="0" applyFont="1" applyBorder="1" applyAlignment="1">
      <alignment vertical="top" wrapText="1"/>
    </xf>
    <xf numFmtId="0" fontId="4" fillId="0" borderId="4" xfId="0" applyFont="1" applyBorder="1" applyAlignment="1">
      <alignment vertical="top"/>
    </xf>
    <xf numFmtId="0" fontId="3" fillId="0" borderId="7" xfId="0" applyFont="1" applyBorder="1" applyAlignment="1">
      <alignment vertical="top" wrapText="1"/>
    </xf>
    <xf numFmtId="0" fontId="4" fillId="3" borderId="4" xfId="0" applyFont="1" applyFill="1" applyBorder="1" applyAlignment="1">
      <alignment vertical="top"/>
    </xf>
    <xf numFmtId="0" fontId="4" fillId="3" borderId="7" xfId="0" applyFont="1" applyFill="1" applyBorder="1" applyAlignment="1">
      <alignment vertical="top" wrapText="1"/>
    </xf>
    <xf numFmtId="0" fontId="4" fillId="0" borderId="5" xfId="0" applyFont="1" applyBorder="1" applyAlignment="1">
      <alignment vertical="top"/>
    </xf>
    <xf numFmtId="0" fontId="3" fillId="0" borderId="8" xfId="0" applyFont="1" applyBorder="1" applyAlignment="1">
      <alignment vertical="top"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0" borderId="4" xfId="0" applyFont="1" applyBorder="1"/>
    <xf numFmtId="3" fontId="7" fillId="0" borderId="0" xfId="0" applyNumberFormat="1" applyFont="1" applyAlignment="1">
      <alignment horizontal="right"/>
    </xf>
    <xf numFmtId="0" fontId="3" fillId="0" borderId="7" xfId="0" applyFont="1" applyBorder="1"/>
    <xf numFmtId="0" fontId="3" fillId="3" borderId="4" xfId="0" applyFont="1" applyFill="1" applyBorder="1"/>
    <xf numFmtId="3" fontId="7" fillId="3" borderId="0" xfId="0" applyNumberFormat="1" applyFont="1" applyFill="1" applyAlignment="1">
      <alignment horizontal="right"/>
    </xf>
    <xf numFmtId="0" fontId="3" fillId="3" borderId="0" xfId="0" applyFont="1" applyFill="1"/>
    <xf numFmtId="0" fontId="3" fillId="3" borderId="7" xfId="0" applyFont="1" applyFill="1" applyBorder="1"/>
    <xf numFmtId="0" fontId="3" fillId="3" borderId="5" xfId="0" applyFont="1" applyFill="1" applyBorder="1"/>
    <xf numFmtId="3" fontId="7" fillId="3" borderId="2" xfId="0" applyNumberFormat="1" applyFont="1" applyFill="1" applyBorder="1" applyAlignment="1">
      <alignment horizontal="right"/>
    </xf>
    <xf numFmtId="0" fontId="3" fillId="3" borderId="2" xfId="0" applyFont="1" applyFill="1" applyBorder="1"/>
    <xf numFmtId="0" fontId="3" fillId="3" borderId="8" xfId="0" applyFont="1" applyFill="1" applyBorder="1"/>
    <xf numFmtId="0" fontId="4" fillId="0" borderId="3" xfId="0" applyFont="1" applyBorder="1"/>
    <xf numFmtId="0" fontId="7" fillId="0" borderId="6" xfId="0" applyFont="1" applyBorder="1" applyAlignment="1">
      <alignment horizontal="right"/>
    </xf>
    <xf numFmtId="0" fontId="4" fillId="0" borderId="4" xfId="0" applyFont="1" applyBorder="1"/>
    <xf numFmtId="1" fontId="7" fillId="0" borderId="7" xfId="0" applyNumberFormat="1" applyFont="1" applyBorder="1" applyAlignment="1">
      <alignment horizontal="right"/>
    </xf>
    <xf numFmtId="0" fontId="4" fillId="0" borderId="5" xfId="0" applyFont="1" applyBorder="1"/>
    <xf numFmtId="164" fontId="7" fillId="0" borderId="8" xfId="0" applyNumberFormat="1" applyFont="1" applyBorder="1" applyAlignment="1">
      <alignment horizontal="right"/>
    </xf>
    <xf numFmtId="165" fontId="7" fillId="0" borderId="0" xfId="0" applyNumberFormat="1" applyFont="1" applyAlignment="1">
      <alignment horizontal="right"/>
    </xf>
    <xf numFmtId="0" fontId="7" fillId="0" borderId="0" xfId="0" applyFont="1"/>
    <xf numFmtId="9" fontId="7" fillId="0" borderId="0" xfId="0" applyNumberFormat="1" applyFont="1" applyAlignment="1">
      <alignment horizontal="right"/>
    </xf>
    <xf numFmtId="0" fontId="4" fillId="3" borderId="4" xfId="0" applyFont="1" applyFill="1" applyBorder="1"/>
    <xf numFmtId="165" fontId="7" fillId="3" borderId="0" xfId="0" applyNumberFormat="1" applyFont="1" applyFill="1" applyAlignment="1">
      <alignment horizontal="right"/>
    </xf>
    <xf numFmtId="0" fontId="7" fillId="3" borderId="0" xfId="0" applyFont="1" applyFill="1"/>
    <xf numFmtId="9" fontId="7" fillId="3" borderId="0" xfId="0" applyNumberFormat="1" applyFont="1" applyFill="1" applyAlignment="1">
      <alignment horizontal="right"/>
    </xf>
    <xf numFmtId="165" fontId="7" fillId="0" borderId="2" xfId="0" applyNumberFormat="1" applyFont="1" applyBorder="1" applyAlignment="1">
      <alignment horizontal="right"/>
    </xf>
    <xf numFmtId="0" fontId="7" fillId="0" borderId="2" xfId="0" applyFont="1" applyBorder="1"/>
    <xf numFmtId="9" fontId="7" fillId="0" borderId="2" xfId="0" applyNumberFormat="1" applyFont="1" applyBorder="1" applyAlignment="1">
      <alignment horizontal="right"/>
    </xf>
    <xf numFmtId="0" fontId="3" fillId="0" borderId="8" xfId="0" applyFont="1" applyBorder="1"/>
    <xf numFmtId="0" fontId="4" fillId="4" borderId="5" xfId="0" applyFont="1" applyFill="1" applyBorder="1"/>
    <xf numFmtId="9" fontId="4" fillId="4" borderId="2" xfId="0" applyNumberFormat="1" applyFont="1" applyFill="1" applyBorder="1"/>
    <xf numFmtId="0" fontId="4" fillId="4" borderId="2" xfId="0" applyFont="1" applyFill="1" applyBorder="1"/>
    <xf numFmtId="0" fontId="4" fillId="4" borderId="8" xfId="0" applyFont="1" applyFill="1" applyBorder="1"/>
    <xf numFmtId="0" fontId="4" fillId="0" borderId="0" xfId="0" applyFont="1"/>
    <xf numFmtId="166" fontId="3" fillId="0" borderId="0" xfId="0" applyNumberFormat="1" applyFont="1"/>
    <xf numFmtId="0" fontId="8" fillId="0" borderId="0" xfId="0" applyFont="1"/>
    <xf numFmtId="166" fontId="3" fillId="0" borderId="7" xfId="0" applyNumberFormat="1" applyFont="1" applyBorder="1"/>
    <xf numFmtId="166" fontId="3" fillId="3" borderId="0" xfId="0" applyNumberFormat="1" applyFont="1" applyFill="1"/>
    <xf numFmtId="0" fontId="8" fillId="3" borderId="0" xfId="0" applyFont="1" applyFill="1"/>
    <xf numFmtId="166" fontId="3" fillId="3" borderId="7" xfId="0" applyNumberFormat="1" applyFont="1" applyFill="1" applyBorder="1"/>
    <xf numFmtId="3" fontId="4" fillId="4" borderId="2" xfId="0" applyNumberFormat="1" applyFont="1" applyFill="1" applyBorder="1"/>
    <xf numFmtId="166" fontId="4" fillId="4" borderId="2" xfId="0" applyNumberFormat="1" applyFont="1" applyFill="1" applyBorder="1"/>
    <xf numFmtId="166" fontId="4" fillId="4" borderId="8" xfId="0" applyNumberFormat="1" applyFont="1" applyFill="1" applyBorder="1"/>
    <xf numFmtId="0" fontId="8" fillId="0" borderId="4" xfId="0" applyFont="1" applyBorder="1"/>
    <xf numFmtId="3" fontId="8" fillId="0" borderId="0" xfId="0" applyNumberFormat="1" applyFont="1"/>
    <xf numFmtId="3" fontId="3" fillId="0" borderId="7" xfId="0" applyNumberFormat="1" applyFont="1" applyBorder="1"/>
    <xf numFmtId="0" fontId="8" fillId="3" borderId="4" xfId="0" applyFont="1" applyFill="1" applyBorder="1"/>
    <xf numFmtId="3" fontId="8" fillId="3" borderId="0" xfId="0" applyNumberFormat="1" applyFont="1" applyFill="1"/>
    <xf numFmtId="3" fontId="3" fillId="3" borderId="7" xfId="0" applyNumberFormat="1" applyFont="1" applyFill="1" applyBorder="1"/>
    <xf numFmtId="3" fontId="4" fillId="4" borderId="8" xfId="0" applyNumberFormat="1" applyFont="1" applyFill="1" applyBorder="1"/>
    <xf numFmtId="0" fontId="5" fillId="0" borderId="0" xfId="0" applyFont="1"/>
    <xf numFmtId="0" fontId="2" fillId="2" borderId="3" xfId="0" applyFont="1" applyFill="1" applyBorder="1"/>
    <xf numFmtId="0" fontId="2" fillId="2" borderId="6" xfId="0" applyFont="1" applyFill="1" applyBorder="1"/>
    <xf numFmtId="3" fontId="4" fillId="4" borderId="7" xfId="0" applyNumberFormat="1" applyFont="1" applyFill="1" applyBorder="1"/>
    <xf numFmtId="167" fontId="3" fillId="0" borderId="7" xfId="0" applyNumberFormat="1" applyFont="1" applyBorder="1"/>
    <xf numFmtId="168" fontId="3" fillId="0" borderId="7" xfId="0" applyNumberFormat="1" applyFont="1" applyBorder="1"/>
    <xf numFmtId="168" fontId="3" fillId="0" borderId="8" xfId="0" applyNumberFormat="1" applyFont="1" applyBorder="1"/>
    <xf numFmtId="0" fontId="2" fillId="2" borderId="0" xfId="0" applyFont="1" applyFill="1" applyAlignment="1">
      <alignment horizontal="center"/>
    </xf>
    <xf numFmtId="0" fontId="1" fillId="0" borderId="0" xfId="0" applyFont="1" applyAlignment="1"/>
    <xf numFmtId="0" fontId="5" fillId="0" borderId="0" xfId="0" applyFont="1" applyAlignment="1"/>
    <xf numFmtId="0" fontId="6"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abSelected="1" workbookViewId="0">
      <pane ySplit="4" topLeftCell="A5" activePane="bottomLeft" state="frozen"/>
      <selection pane="bottomLeft"/>
    </sheetView>
  </sheetViews>
  <sheetFormatPr defaultRowHeight="15"/>
  <cols>
    <col min="1" max="1" width="28.7109375" customWidth="1"/>
    <col min="2" max="2" width="100.7109375" customWidth="1"/>
  </cols>
  <sheetData>
    <row r="1" spans="1:2" ht="21">
      <c r="A1" s="71" t="s">
        <v>0</v>
      </c>
      <c r="B1" s="71"/>
    </row>
    <row r="2" spans="1:2">
      <c r="A2" s="70" t="s">
        <v>1</v>
      </c>
      <c r="B2" s="70"/>
    </row>
    <row r="3" spans="1:2">
      <c r="A3" s="2"/>
      <c r="B3" s="2"/>
    </row>
    <row r="4" spans="1:2">
      <c r="A4" s="1" t="s">
        <v>2</v>
      </c>
      <c r="B4" s="1" t="s">
        <v>3</v>
      </c>
    </row>
    <row r="5" spans="1:2" ht="57.75">
      <c r="A5" s="3" t="s">
        <v>4</v>
      </c>
      <c r="B5" s="4" t="s">
        <v>5</v>
      </c>
    </row>
    <row r="6" spans="1:2" ht="274.5">
      <c r="A6" s="5" t="s">
        <v>6</v>
      </c>
      <c r="B6" s="6" t="s">
        <v>7</v>
      </c>
    </row>
    <row r="7" spans="1:2" ht="409.6">
      <c r="A7" s="5" t="s">
        <v>8</v>
      </c>
      <c r="B7" s="6" t="s">
        <v>9</v>
      </c>
    </row>
    <row r="8" spans="1:2" ht="409.6">
      <c r="A8" s="5" t="s">
        <v>10</v>
      </c>
      <c r="B8" s="6" t="s">
        <v>11</v>
      </c>
    </row>
    <row r="9" spans="1:2" ht="201.75">
      <c r="A9" s="5" t="s">
        <v>12</v>
      </c>
      <c r="B9" s="6" t="s">
        <v>13</v>
      </c>
    </row>
    <row r="10" spans="1:2" ht="288.75">
      <c r="A10" s="5" t="s">
        <v>14</v>
      </c>
      <c r="B10" s="6" t="s">
        <v>15</v>
      </c>
    </row>
    <row r="11" spans="1:2">
      <c r="A11" s="7" t="s">
        <v>16</v>
      </c>
      <c r="B11" s="8"/>
    </row>
    <row r="12" spans="1:2" ht="57.75">
      <c r="A12" s="5" t="s">
        <v>17</v>
      </c>
      <c r="B12" s="6" t="s">
        <v>18</v>
      </c>
    </row>
    <row r="13" spans="1:2" ht="144.75">
      <c r="A13" s="5" t="s">
        <v>19</v>
      </c>
      <c r="B13" s="6" t="s">
        <v>20</v>
      </c>
    </row>
    <row r="14" spans="1:2" ht="174">
      <c r="A14" s="5" t="s">
        <v>21</v>
      </c>
      <c r="B14" s="6" t="s">
        <v>22</v>
      </c>
    </row>
    <row r="15" spans="1:2" ht="201.75">
      <c r="A15" s="9" t="s">
        <v>23</v>
      </c>
      <c r="B15" s="10" t="s">
        <v>24</v>
      </c>
    </row>
    <row r="16" spans="1:2">
      <c r="A16" s="2"/>
      <c r="B16" s="2"/>
    </row>
    <row r="17" spans="1:2">
      <c r="A17" s="72" t="s">
        <v>1</v>
      </c>
      <c r="B17" s="72"/>
    </row>
  </sheetData>
  <mergeCells count="3">
    <mergeCell ref="A1:B1"/>
    <mergeCell ref="A2:B2"/>
    <mergeCell ref="A17:B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6A37-3815-4D06-B207-9CD36A7F4A04}">
  <dimension ref="A1:D13"/>
  <sheetViews>
    <sheetView workbookViewId="0">
      <pane ySplit="3" topLeftCell="A4" activePane="bottomLeft" state="frozen"/>
      <selection pane="bottomLeft"/>
    </sheetView>
  </sheetViews>
  <sheetFormatPr defaultRowHeight="15"/>
  <cols>
    <col min="1" max="1" width="26.7109375" customWidth="1"/>
    <col min="2" max="2" width="16.7109375" customWidth="1"/>
    <col min="3" max="3" width="58.7109375" customWidth="1"/>
    <col min="4" max="4" width="40.7109375" customWidth="1"/>
  </cols>
  <sheetData>
    <row r="1" spans="1:4" ht="18.75">
      <c r="A1" s="73" t="s">
        <v>25</v>
      </c>
      <c r="B1" s="73"/>
      <c r="C1" s="73"/>
      <c r="D1" s="73"/>
    </row>
    <row r="2" spans="1:4">
      <c r="A2" s="72" t="s">
        <v>26</v>
      </c>
      <c r="B2" s="72"/>
      <c r="C2" s="72"/>
      <c r="D2" s="72"/>
    </row>
    <row r="3" spans="1:4" ht="43.5">
      <c r="A3" s="12" t="s">
        <v>27</v>
      </c>
      <c r="B3" s="11" t="s">
        <v>28</v>
      </c>
      <c r="C3" s="11" t="s">
        <v>29</v>
      </c>
      <c r="D3" s="13" t="s">
        <v>30</v>
      </c>
    </row>
    <row r="4" spans="1:4">
      <c r="A4" s="14" t="s">
        <v>31</v>
      </c>
      <c r="B4" s="15">
        <v>6500</v>
      </c>
      <c r="C4" s="2" t="s">
        <v>32</v>
      </c>
      <c r="D4" s="16" t="s">
        <v>33</v>
      </c>
    </row>
    <row r="5" spans="1:4">
      <c r="A5" s="17" t="s">
        <v>34</v>
      </c>
      <c r="B5" s="18">
        <v>5200</v>
      </c>
      <c r="C5" s="19" t="s">
        <v>35</v>
      </c>
      <c r="D5" s="20" t="s">
        <v>33</v>
      </c>
    </row>
    <row r="6" spans="1:4">
      <c r="A6" s="14" t="s">
        <v>36</v>
      </c>
      <c r="B6" s="15">
        <v>4800</v>
      </c>
      <c r="C6" s="2" t="s">
        <v>37</v>
      </c>
      <c r="D6" s="16" t="s">
        <v>33</v>
      </c>
    </row>
    <row r="7" spans="1:4">
      <c r="A7" s="17" t="s">
        <v>38</v>
      </c>
      <c r="B7" s="18">
        <v>6000</v>
      </c>
      <c r="C7" s="19" t="s">
        <v>39</v>
      </c>
      <c r="D7" s="20" t="s">
        <v>33</v>
      </c>
    </row>
    <row r="8" spans="1:4">
      <c r="A8" s="14" t="s">
        <v>40</v>
      </c>
      <c r="B8" s="15">
        <v>4800</v>
      </c>
      <c r="C8" s="2" t="s">
        <v>41</v>
      </c>
      <c r="D8" s="16" t="s">
        <v>33</v>
      </c>
    </row>
    <row r="9" spans="1:4">
      <c r="A9" s="21" t="s">
        <v>42</v>
      </c>
      <c r="B9" s="22">
        <v>4500</v>
      </c>
      <c r="C9" s="23" t="s">
        <v>43</v>
      </c>
      <c r="D9" s="24" t="s">
        <v>33</v>
      </c>
    </row>
    <row r="10" spans="1:4">
      <c r="A10" s="2"/>
      <c r="B10" s="2"/>
      <c r="C10" s="2"/>
      <c r="D10" s="2"/>
    </row>
    <row r="11" spans="1:4">
      <c r="A11" s="25" t="s">
        <v>44</v>
      </c>
      <c r="B11" s="26" t="s">
        <v>45</v>
      </c>
      <c r="C11" s="2"/>
      <c r="D11" s="2"/>
    </row>
    <row r="12" spans="1:4">
      <c r="A12" s="27" t="s">
        <v>46</v>
      </c>
      <c r="B12" s="28">
        <v>5</v>
      </c>
      <c r="C12" s="2"/>
      <c r="D12" s="2"/>
    </row>
    <row r="13" spans="1:4">
      <c r="A13" s="29" t="s">
        <v>47</v>
      </c>
      <c r="B13" s="30">
        <v>46023</v>
      </c>
      <c r="C13" s="2"/>
      <c r="D13" s="2"/>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1C8CD-8572-4BD4-A2B1-0E362DC46199}">
  <dimension ref="A1:G12"/>
  <sheetViews>
    <sheetView workbookViewId="0">
      <pane xSplit="1" ySplit="3" topLeftCell="B4" activePane="bottomRight" state="frozen"/>
      <selection pane="bottomRight"/>
      <selection pane="bottomLeft"/>
      <selection pane="topRight"/>
    </sheetView>
  </sheetViews>
  <sheetFormatPr defaultRowHeight="15"/>
  <cols>
    <col min="1" max="1" width="26.7109375" customWidth="1"/>
    <col min="2" max="4" width="13.7109375" customWidth="1"/>
    <col min="5" max="5" width="22.7109375" customWidth="1"/>
    <col min="6" max="6" width="20.7109375" customWidth="1"/>
    <col min="7" max="7" width="62.7109375" customWidth="1"/>
  </cols>
  <sheetData>
    <row r="1" spans="1:7" ht="18.75">
      <c r="A1" s="73" t="s">
        <v>48</v>
      </c>
      <c r="B1" s="73"/>
      <c r="C1" s="73"/>
      <c r="D1" s="73"/>
      <c r="E1" s="73"/>
      <c r="F1" s="73"/>
      <c r="G1" s="73"/>
    </row>
    <row r="2" spans="1:7">
      <c r="A2" s="72" t="s">
        <v>49</v>
      </c>
      <c r="B2" s="72"/>
      <c r="C2" s="72"/>
      <c r="D2" s="72"/>
      <c r="E2" s="72"/>
      <c r="F2" s="72"/>
      <c r="G2" s="72"/>
    </row>
    <row r="3" spans="1:7" ht="72.75">
      <c r="A3" s="12" t="s">
        <v>50</v>
      </c>
      <c r="B3" s="11" t="s">
        <v>51</v>
      </c>
      <c r="C3" s="11" t="s">
        <v>52</v>
      </c>
      <c r="D3" s="11" t="s">
        <v>53</v>
      </c>
      <c r="E3" s="11" t="s">
        <v>54</v>
      </c>
      <c r="F3" s="11" t="s">
        <v>55</v>
      </c>
      <c r="G3" s="13" t="s">
        <v>56</v>
      </c>
    </row>
    <row r="4" spans="1:7">
      <c r="A4" s="27" t="s">
        <v>57</v>
      </c>
      <c r="B4" s="31">
        <v>0.5</v>
      </c>
      <c r="C4" s="31">
        <v>1.5</v>
      </c>
      <c r="D4" s="31">
        <v>4</v>
      </c>
      <c r="E4" s="32" t="s">
        <v>34</v>
      </c>
      <c r="F4" s="33">
        <v>0.05</v>
      </c>
      <c r="G4" s="16" t="s">
        <v>58</v>
      </c>
    </row>
    <row r="5" spans="1:7">
      <c r="A5" s="34" t="s">
        <v>59</v>
      </c>
      <c r="B5" s="35">
        <v>2</v>
      </c>
      <c r="C5" s="35">
        <v>5</v>
      </c>
      <c r="D5" s="35">
        <v>12</v>
      </c>
      <c r="E5" s="36" t="s">
        <v>36</v>
      </c>
      <c r="F5" s="37">
        <v>0.15</v>
      </c>
      <c r="G5" s="20" t="s">
        <v>60</v>
      </c>
    </row>
    <row r="6" spans="1:7">
      <c r="A6" s="27" t="s">
        <v>61</v>
      </c>
      <c r="B6" s="31">
        <v>5</v>
      </c>
      <c r="C6" s="31">
        <v>12</v>
      </c>
      <c r="D6" s="31">
        <v>25</v>
      </c>
      <c r="E6" s="32" t="s">
        <v>36</v>
      </c>
      <c r="F6" s="33">
        <v>0.2</v>
      </c>
      <c r="G6" s="16" t="s">
        <v>62</v>
      </c>
    </row>
    <row r="7" spans="1:7">
      <c r="A7" s="34" t="s">
        <v>63</v>
      </c>
      <c r="B7" s="35">
        <v>1.5</v>
      </c>
      <c r="C7" s="35">
        <v>4</v>
      </c>
      <c r="D7" s="35">
        <v>8</v>
      </c>
      <c r="E7" s="36" t="s">
        <v>36</v>
      </c>
      <c r="F7" s="37">
        <v>0.05</v>
      </c>
      <c r="G7" s="20" t="s">
        <v>64</v>
      </c>
    </row>
    <row r="8" spans="1:7">
      <c r="A8" s="27" t="s">
        <v>65</v>
      </c>
      <c r="B8" s="31">
        <v>3</v>
      </c>
      <c r="C8" s="31">
        <v>6</v>
      </c>
      <c r="D8" s="31">
        <v>12</v>
      </c>
      <c r="E8" s="32" t="s">
        <v>40</v>
      </c>
      <c r="F8" s="33">
        <v>0.1</v>
      </c>
      <c r="G8" s="16" t="s">
        <v>66</v>
      </c>
    </row>
    <row r="9" spans="1:7">
      <c r="A9" s="34" t="s">
        <v>67</v>
      </c>
      <c r="B9" s="35">
        <v>0.5</v>
      </c>
      <c r="C9" s="35">
        <v>1</v>
      </c>
      <c r="D9" s="35">
        <v>2.5</v>
      </c>
      <c r="E9" s="36" t="s">
        <v>34</v>
      </c>
      <c r="F9" s="37">
        <v>0</v>
      </c>
      <c r="G9" s="20" t="s">
        <v>68</v>
      </c>
    </row>
    <row r="10" spans="1:7">
      <c r="A10" s="27" t="s">
        <v>69</v>
      </c>
      <c r="B10" s="31">
        <v>1</v>
      </c>
      <c r="C10" s="31">
        <v>2.5</v>
      </c>
      <c r="D10" s="31">
        <v>6</v>
      </c>
      <c r="E10" s="32" t="s">
        <v>34</v>
      </c>
      <c r="F10" s="33">
        <v>0.05</v>
      </c>
      <c r="G10" s="16" t="s">
        <v>70</v>
      </c>
    </row>
    <row r="11" spans="1:7">
      <c r="A11" s="34" t="s">
        <v>71</v>
      </c>
      <c r="B11" s="35">
        <v>1.5</v>
      </c>
      <c r="C11" s="35">
        <v>4</v>
      </c>
      <c r="D11" s="35">
        <v>8</v>
      </c>
      <c r="E11" s="36" t="s">
        <v>36</v>
      </c>
      <c r="F11" s="37">
        <v>0.1</v>
      </c>
      <c r="G11" s="20" t="s">
        <v>72</v>
      </c>
    </row>
    <row r="12" spans="1:7">
      <c r="A12" s="29" t="s">
        <v>73</v>
      </c>
      <c r="B12" s="38">
        <v>2</v>
      </c>
      <c r="C12" s="38">
        <v>5</v>
      </c>
      <c r="D12" s="38">
        <v>10</v>
      </c>
      <c r="E12" s="39" t="s">
        <v>36</v>
      </c>
      <c r="F12" s="40">
        <v>0.15</v>
      </c>
      <c r="G12" s="41" t="s">
        <v>74</v>
      </c>
    </row>
  </sheetData>
  <mergeCells count="2">
    <mergeCell ref="A1:G1"/>
    <mergeCell ref="A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B5A6-BDF5-4312-B25C-E88EF436FC79}">
  <dimension ref="A1:D8"/>
  <sheetViews>
    <sheetView workbookViewId="0">
      <pane ySplit="3" topLeftCell="A4" activePane="bottomLeft" state="frozen"/>
      <selection pane="bottomLeft"/>
    </sheetView>
  </sheetViews>
  <sheetFormatPr defaultRowHeight="15"/>
  <cols>
    <col min="1" max="1" width="34.7109375" customWidth="1"/>
    <col min="2" max="2" width="18.7109375" customWidth="1"/>
    <col min="3" max="3" width="24.7109375" customWidth="1"/>
    <col min="4" max="4" width="62.7109375" customWidth="1"/>
  </cols>
  <sheetData>
    <row r="1" spans="1:4" ht="18.75">
      <c r="A1" s="73" t="s">
        <v>75</v>
      </c>
      <c r="B1" s="73"/>
      <c r="C1" s="73"/>
      <c r="D1" s="73"/>
    </row>
    <row r="2" spans="1:4">
      <c r="A2" s="72" t="s">
        <v>76</v>
      </c>
      <c r="B2" s="72"/>
      <c r="C2" s="72"/>
      <c r="D2" s="72"/>
    </row>
    <row r="3" spans="1:4" ht="43.5">
      <c r="A3" s="12" t="s">
        <v>77</v>
      </c>
      <c r="B3" s="11" t="s">
        <v>78</v>
      </c>
      <c r="C3" s="11" t="s">
        <v>79</v>
      </c>
      <c r="D3" s="13" t="s">
        <v>80</v>
      </c>
    </row>
    <row r="4" spans="1:4">
      <c r="A4" s="14" t="s">
        <v>81</v>
      </c>
      <c r="B4" s="33">
        <v>0.12</v>
      </c>
      <c r="C4" s="32" t="s">
        <v>38</v>
      </c>
      <c r="D4" s="16" t="s">
        <v>82</v>
      </c>
    </row>
    <row r="5" spans="1:4">
      <c r="A5" s="17" t="s">
        <v>83</v>
      </c>
      <c r="B5" s="37">
        <v>0.2</v>
      </c>
      <c r="C5" s="36" t="s">
        <v>34</v>
      </c>
      <c r="D5" s="20" t="s">
        <v>84</v>
      </c>
    </row>
    <row r="6" spans="1:4">
      <c r="A6" s="14" t="s">
        <v>85</v>
      </c>
      <c r="B6" s="33">
        <v>0.06</v>
      </c>
      <c r="C6" s="32" t="s">
        <v>42</v>
      </c>
      <c r="D6" s="16" t="s">
        <v>86</v>
      </c>
    </row>
    <row r="7" spans="1:4">
      <c r="A7" s="17" t="s">
        <v>87</v>
      </c>
      <c r="B7" s="37">
        <v>0.1</v>
      </c>
      <c r="C7" s="19" t="s">
        <v>88</v>
      </c>
      <c r="D7" s="20" t="s">
        <v>89</v>
      </c>
    </row>
    <row r="8" spans="1:4">
      <c r="A8" s="42" t="s">
        <v>90</v>
      </c>
      <c r="B8" s="43">
        <f>SUM(B4:B6)</f>
        <v>0.38</v>
      </c>
      <c r="C8" s="44"/>
      <c r="D8" s="45"/>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8B0D6-B17D-40BC-9204-E78874682300}">
  <dimension ref="A1:J36"/>
  <sheetViews>
    <sheetView workbookViewId="0">
      <pane ySplit="8" topLeftCell="A9" activePane="bottomLeft" state="frozen"/>
      <selection pane="bottomLeft"/>
    </sheetView>
  </sheetViews>
  <sheetFormatPr defaultRowHeight="15"/>
  <cols>
    <col min="1" max="1" width="36.7109375" customWidth="1"/>
    <col min="2" max="2" width="18.7109375" customWidth="1"/>
    <col min="3" max="3" width="16.7109375" customWidth="1"/>
    <col min="4" max="5" width="14.7109375" customWidth="1"/>
    <col min="6" max="6" width="22.7109375" customWidth="1"/>
    <col min="7" max="7" width="16.7109375" customWidth="1"/>
    <col min="8" max="8" width="18.7109375" customWidth="1"/>
    <col min="9" max="9" width="15.7109375" customWidth="1"/>
    <col min="10" max="10" width="16.7109375" customWidth="1"/>
  </cols>
  <sheetData>
    <row r="1" spans="1:10" ht="18.75">
      <c r="A1" s="73" t="s">
        <v>91</v>
      </c>
      <c r="B1" s="73"/>
      <c r="C1" s="73"/>
      <c r="D1" s="73"/>
      <c r="E1" s="73"/>
      <c r="F1" s="73"/>
      <c r="G1" s="73"/>
      <c r="H1" s="73"/>
      <c r="I1" s="73"/>
      <c r="J1" s="73"/>
    </row>
    <row r="2" spans="1:10">
      <c r="A2" s="72" t="s">
        <v>92</v>
      </c>
      <c r="B2" s="72"/>
      <c r="C2" s="72"/>
      <c r="D2" s="72"/>
      <c r="E2" s="72"/>
      <c r="F2" s="72"/>
      <c r="G2" s="72"/>
      <c r="H2" s="72"/>
      <c r="I2" s="72"/>
      <c r="J2" s="72"/>
    </row>
    <row r="3" spans="1:10">
      <c r="A3" s="2"/>
      <c r="B3" s="2"/>
      <c r="C3" s="2"/>
      <c r="D3" s="2"/>
      <c r="E3" s="2"/>
      <c r="F3" s="2"/>
      <c r="G3" s="2"/>
      <c r="H3" s="2"/>
      <c r="I3" s="2"/>
      <c r="J3" s="2"/>
    </row>
    <row r="4" spans="1:10">
      <c r="A4" s="46" t="s">
        <v>93</v>
      </c>
      <c r="B4" s="32" t="s">
        <v>94</v>
      </c>
      <c r="C4" s="2"/>
      <c r="D4" s="2"/>
      <c r="E4" s="2"/>
      <c r="F4" s="2"/>
      <c r="G4" s="2"/>
      <c r="H4" s="2"/>
      <c r="I4" s="2"/>
      <c r="J4" s="2"/>
    </row>
    <row r="5" spans="1:10">
      <c r="A5" s="46" t="s">
        <v>95</v>
      </c>
      <c r="B5" s="32" t="s">
        <v>96</v>
      </c>
      <c r="C5" s="2"/>
      <c r="D5" s="2"/>
      <c r="E5" s="2"/>
      <c r="F5" s="2"/>
      <c r="G5" s="2"/>
      <c r="H5" s="2"/>
      <c r="I5" s="2"/>
      <c r="J5" s="2"/>
    </row>
    <row r="6" spans="1:10">
      <c r="A6" s="46" t="s">
        <v>97</v>
      </c>
      <c r="B6" s="32" t="s">
        <v>98</v>
      </c>
      <c r="C6" s="2"/>
      <c r="D6" s="2"/>
      <c r="E6" s="2"/>
      <c r="F6" s="2"/>
      <c r="G6" s="2"/>
      <c r="H6" s="2"/>
      <c r="I6" s="2"/>
      <c r="J6" s="2"/>
    </row>
    <row r="7" spans="1:10">
      <c r="A7" s="2"/>
      <c r="B7" s="2"/>
      <c r="C7" s="2"/>
      <c r="D7" s="2"/>
      <c r="E7" s="2"/>
      <c r="F7" s="2"/>
      <c r="G7" s="2"/>
      <c r="H7" s="2"/>
      <c r="I7" s="2"/>
      <c r="J7" s="2"/>
    </row>
    <row r="8" spans="1:10" ht="57.75">
      <c r="A8" s="12" t="s">
        <v>50</v>
      </c>
      <c r="B8" s="11" t="s">
        <v>99</v>
      </c>
      <c r="C8" s="11" t="s">
        <v>100</v>
      </c>
      <c r="D8" s="11" t="s">
        <v>101</v>
      </c>
      <c r="E8" s="11" t="s">
        <v>102</v>
      </c>
      <c r="F8" s="11" t="s">
        <v>54</v>
      </c>
      <c r="G8" s="11" t="s">
        <v>103</v>
      </c>
      <c r="H8" s="13" t="s">
        <v>104</v>
      </c>
      <c r="I8" s="2"/>
      <c r="J8" s="2"/>
    </row>
    <row r="9" spans="1:10">
      <c r="A9" s="14" t="s">
        <v>57</v>
      </c>
      <c r="B9" s="15">
        <v>40</v>
      </c>
      <c r="C9" s="15">
        <v>25</v>
      </c>
      <c r="D9" s="15">
        <v>8</v>
      </c>
      <c r="E9" s="47">
        <f>SUMPRODUCT(B9:D9,INDEX('Complexity Matrix'!$B$4:$D$12,MATCH($A9,'Complexity Matrix'!$A$4:$A$12,0),0))</f>
        <v>89.5</v>
      </c>
      <c r="F9" s="48" t="str">
        <f>INDEX('Complexity Matrix'!$E$4:$E$12,MATCH($A9,'Complexity Matrix'!$A$4:$A$12,0))</f>
        <v>Functional consultant</v>
      </c>
      <c r="G9" s="47">
        <f>E9*INDEX('Complexity Matrix'!$F$4:$F$12,MATCH($A9,'Complexity Matrix'!$A$4:$A$12,0))</f>
        <v>4.4750000000000005</v>
      </c>
      <c r="H9" s="49">
        <f>E9+G9</f>
        <v>93.974999999999994</v>
      </c>
      <c r="I9" s="2"/>
      <c r="J9" s="2"/>
    </row>
    <row r="10" spans="1:10">
      <c r="A10" s="17" t="s">
        <v>59</v>
      </c>
      <c r="B10" s="18">
        <v>3</v>
      </c>
      <c r="C10" s="18">
        <v>5</v>
      </c>
      <c r="D10" s="18">
        <v>2</v>
      </c>
      <c r="E10" s="50">
        <f>SUMPRODUCT(B10:D10,INDEX('Complexity Matrix'!$B$4:$D$12,MATCH($A10,'Complexity Matrix'!$A$4:$A$12,0),0))</f>
        <v>55</v>
      </c>
      <c r="F10" s="51" t="str">
        <f>INDEX('Complexity Matrix'!$E$4:$E$12,MATCH($A10,'Complexity Matrix'!$A$4:$A$12,0))</f>
        <v>Developer</v>
      </c>
      <c r="G10" s="50">
        <f>E10*INDEX('Complexity Matrix'!$F$4:$F$12,MATCH($A10,'Complexity Matrix'!$A$4:$A$12,0))</f>
        <v>8.25</v>
      </c>
      <c r="H10" s="52">
        <f>E10+G10</f>
        <v>63.25</v>
      </c>
      <c r="I10" s="2"/>
      <c r="J10" s="2"/>
    </row>
    <row r="11" spans="1:10">
      <c r="A11" s="14" t="s">
        <v>61</v>
      </c>
      <c r="B11" s="15">
        <v>1</v>
      </c>
      <c r="C11" s="15">
        <v>3</v>
      </c>
      <c r="D11" s="15">
        <v>2</v>
      </c>
      <c r="E11" s="47">
        <f>SUMPRODUCT(B11:D11,INDEX('Complexity Matrix'!$B$4:$D$12,MATCH($A11,'Complexity Matrix'!$A$4:$A$12,0),0))</f>
        <v>91</v>
      </c>
      <c r="F11" s="48" t="str">
        <f>INDEX('Complexity Matrix'!$E$4:$E$12,MATCH($A11,'Complexity Matrix'!$A$4:$A$12,0))</f>
        <v>Developer</v>
      </c>
      <c r="G11" s="47">
        <f>E11*INDEX('Complexity Matrix'!$F$4:$F$12,MATCH($A11,'Complexity Matrix'!$A$4:$A$12,0))</f>
        <v>18.2</v>
      </c>
      <c r="H11" s="49">
        <f>E11+G11</f>
        <v>109.2</v>
      </c>
      <c r="I11" s="2"/>
      <c r="J11" s="2"/>
    </row>
    <row r="12" spans="1:10">
      <c r="A12" s="17" t="s">
        <v>63</v>
      </c>
      <c r="B12" s="18">
        <v>6</v>
      </c>
      <c r="C12" s="18">
        <v>5</v>
      </c>
      <c r="D12" s="18">
        <v>2</v>
      </c>
      <c r="E12" s="50">
        <f>SUMPRODUCT(B12:D12,INDEX('Complexity Matrix'!$B$4:$D$12,MATCH($A12,'Complexity Matrix'!$A$4:$A$12,0),0))</f>
        <v>45</v>
      </c>
      <c r="F12" s="51" t="str">
        <f>INDEX('Complexity Matrix'!$E$4:$E$12,MATCH($A12,'Complexity Matrix'!$A$4:$A$12,0))</f>
        <v>Developer</v>
      </c>
      <c r="G12" s="50">
        <f>E12*INDEX('Complexity Matrix'!$F$4:$F$12,MATCH($A12,'Complexity Matrix'!$A$4:$A$12,0))</f>
        <v>2.25</v>
      </c>
      <c r="H12" s="52">
        <f>E12+G12</f>
        <v>47.25</v>
      </c>
      <c r="I12" s="2"/>
      <c r="J12" s="2"/>
    </row>
    <row r="13" spans="1:10">
      <c r="A13" s="14" t="s">
        <v>65</v>
      </c>
      <c r="B13" s="15">
        <v>6</v>
      </c>
      <c r="C13" s="15">
        <v>8</v>
      </c>
      <c r="D13" s="15">
        <v>4</v>
      </c>
      <c r="E13" s="47">
        <f>SUMPRODUCT(B13:D13,INDEX('Complexity Matrix'!$B$4:$D$12,MATCH($A13,'Complexity Matrix'!$A$4:$A$12,0),0))</f>
        <v>114</v>
      </c>
      <c r="F13" s="48" t="str">
        <f>INDEX('Complexity Matrix'!$E$4:$E$12,MATCH($A13,'Complexity Matrix'!$A$4:$A$12,0))</f>
        <v>Data</v>
      </c>
      <c r="G13" s="47">
        <f>E13*INDEX('Complexity Matrix'!$F$4:$F$12,MATCH($A13,'Complexity Matrix'!$A$4:$A$12,0))</f>
        <v>11.4</v>
      </c>
      <c r="H13" s="49">
        <f>E13+G13</f>
        <v>125.4</v>
      </c>
      <c r="I13" s="2"/>
      <c r="J13" s="2"/>
    </row>
    <row r="14" spans="1:10">
      <c r="A14" s="17" t="s">
        <v>67</v>
      </c>
      <c r="B14" s="18">
        <v>20</v>
      </c>
      <c r="C14" s="18">
        <v>12</v>
      </c>
      <c r="D14" s="18">
        <v>4</v>
      </c>
      <c r="E14" s="50">
        <f>SUMPRODUCT(B14:D14,INDEX('Complexity Matrix'!$B$4:$D$12,MATCH($A14,'Complexity Matrix'!$A$4:$A$12,0),0))</f>
        <v>32</v>
      </c>
      <c r="F14" s="51" t="str">
        <f>INDEX('Complexity Matrix'!$E$4:$E$12,MATCH($A14,'Complexity Matrix'!$A$4:$A$12,0))</f>
        <v>Functional consultant</v>
      </c>
      <c r="G14" s="50">
        <f>E14*INDEX('Complexity Matrix'!$F$4:$F$12,MATCH($A14,'Complexity Matrix'!$A$4:$A$12,0))</f>
        <v>0</v>
      </c>
      <c r="H14" s="52">
        <f>E14+G14</f>
        <v>32</v>
      </c>
      <c r="I14" s="2"/>
      <c r="J14" s="2"/>
    </row>
    <row r="15" spans="1:10">
      <c r="A15" s="14" t="s">
        <v>69</v>
      </c>
      <c r="B15" s="15">
        <v>8</v>
      </c>
      <c r="C15" s="15">
        <v>6</v>
      </c>
      <c r="D15" s="15">
        <v>2</v>
      </c>
      <c r="E15" s="47">
        <f>SUMPRODUCT(B15:D15,INDEX('Complexity Matrix'!$B$4:$D$12,MATCH($A15,'Complexity Matrix'!$A$4:$A$12,0),0))</f>
        <v>35</v>
      </c>
      <c r="F15" s="48" t="str">
        <f>INDEX('Complexity Matrix'!$E$4:$E$12,MATCH($A15,'Complexity Matrix'!$A$4:$A$12,0))</f>
        <v>Functional consultant</v>
      </c>
      <c r="G15" s="47">
        <f>E15*INDEX('Complexity Matrix'!$F$4:$F$12,MATCH($A15,'Complexity Matrix'!$A$4:$A$12,0))</f>
        <v>1.75</v>
      </c>
      <c r="H15" s="49">
        <f>E15+G15</f>
        <v>36.75</v>
      </c>
      <c r="I15" s="2"/>
      <c r="J15" s="2"/>
    </row>
    <row r="16" spans="1:10">
      <c r="A16" s="17" t="s">
        <v>71</v>
      </c>
      <c r="B16" s="18">
        <v>3</v>
      </c>
      <c r="C16" s="18">
        <v>4</v>
      </c>
      <c r="D16" s="18">
        <v>2</v>
      </c>
      <c r="E16" s="50">
        <f>SUMPRODUCT(B16:D16,INDEX('Complexity Matrix'!$B$4:$D$12,MATCH($A16,'Complexity Matrix'!$A$4:$A$12,0),0))</f>
        <v>36.5</v>
      </c>
      <c r="F16" s="51" t="str">
        <f>INDEX('Complexity Matrix'!$E$4:$E$12,MATCH($A16,'Complexity Matrix'!$A$4:$A$12,0))</f>
        <v>Developer</v>
      </c>
      <c r="G16" s="50">
        <f>E16*INDEX('Complexity Matrix'!$F$4:$F$12,MATCH($A16,'Complexity Matrix'!$A$4:$A$12,0))</f>
        <v>3.6500000000000004</v>
      </c>
      <c r="H16" s="52">
        <f>E16+G16</f>
        <v>40.15</v>
      </c>
      <c r="I16" s="2"/>
      <c r="J16" s="2"/>
    </row>
    <row r="17" spans="1:10">
      <c r="A17" s="14" t="s">
        <v>73</v>
      </c>
      <c r="B17" s="15">
        <v>2</v>
      </c>
      <c r="C17" s="15">
        <v>3</v>
      </c>
      <c r="D17" s="15">
        <v>1</v>
      </c>
      <c r="E17" s="47">
        <f>SUMPRODUCT(B17:D17,INDEX('Complexity Matrix'!$B$4:$D$12,MATCH($A17,'Complexity Matrix'!$A$4:$A$12,0),0))</f>
        <v>29</v>
      </c>
      <c r="F17" s="48" t="str">
        <f>INDEX('Complexity Matrix'!$E$4:$E$12,MATCH($A17,'Complexity Matrix'!$A$4:$A$12,0))</f>
        <v>Developer</v>
      </c>
      <c r="G17" s="47">
        <f>E17*INDEX('Complexity Matrix'!$F$4:$F$12,MATCH($A17,'Complexity Matrix'!$A$4:$A$12,0))</f>
        <v>4.3499999999999996</v>
      </c>
      <c r="H17" s="49">
        <f>E17+G17</f>
        <v>33.35</v>
      </c>
      <c r="I17" s="2"/>
      <c r="J17" s="2"/>
    </row>
    <row r="18" spans="1:10">
      <c r="A18" s="42" t="s">
        <v>105</v>
      </c>
      <c r="B18" s="53">
        <f>SUM(B9:B17)</f>
        <v>89</v>
      </c>
      <c r="C18" s="53">
        <f>SUM(C9:C17)</f>
        <v>71</v>
      </c>
      <c r="D18" s="53">
        <f>SUM(D9:D17)</f>
        <v>27</v>
      </c>
      <c r="E18" s="54">
        <f>SUM(E9:E17)</f>
        <v>527</v>
      </c>
      <c r="F18" s="44"/>
      <c r="G18" s="54">
        <f>SUM(G9:G17)</f>
        <v>54.324999999999996</v>
      </c>
      <c r="H18" s="55">
        <f>SUM(H9:H17)</f>
        <v>581.32500000000005</v>
      </c>
      <c r="I18" s="2"/>
      <c r="J18" s="2"/>
    </row>
    <row r="19" spans="1:10">
      <c r="A19" s="2"/>
      <c r="B19" s="2"/>
      <c r="C19" s="2"/>
      <c r="D19" s="2"/>
      <c r="E19" s="2"/>
      <c r="F19" s="2"/>
      <c r="G19" s="2"/>
      <c r="H19" s="2"/>
      <c r="I19" s="2"/>
      <c r="J19" s="2"/>
    </row>
    <row r="20" spans="1:10" ht="43.5">
      <c r="A20" s="12" t="s">
        <v>27</v>
      </c>
      <c r="B20" s="11" t="s">
        <v>106</v>
      </c>
      <c r="C20" s="11" t="s">
        <v>81</v>
      </c>
      <c r="D20" s="11" t="s">
        <v>83</v>
      </c>
      <c r="E20" s="11" t="s">
        <v>85</v>
      </c>
      <c r="F20" s="11" t="s">
        <v>107</v>
      </c>
      <c r="G20" s="11" t="s">
        <v>87</v>
      </c>
      <c r="H20" s="11" t="s">
        <v>108</v>
      </c>
      <c r="I20" s="11" t="s">
        <v>28</v>
      </c>
      <c r="J20" s="13" t="s">
        <v>109</v>
      </c>
    </row>
    <row r="21" spans="1:10">
      <c r="A21" s="56" t="str">
        <f>Parameters!A4</f>
        <v>Architect</v>
      </c>
      <c r="B21" s="47">
        <f>SUMIF($F$9:$F$17,$A21,$E$9:$E$17)+IF($A21=Parameters!$A$4,$G$18,0)</f>
        <v>54.324999999999996</v>
      </c>
      <c r="C21" s="47">
        <f>IF($A21='Phase Overheads'!$C$4,$H$18*'Phase Overheads'!$B$4,0)</f>
        <v>0</v>
      </c>
      <c r="D21" s="47">
        <f>IF($A21='Phase Overheads'!$C$5,$H$18*'Phase Overheads'!$B$5,0)</f>
        <v>0</v>
      </c>
      <c r="E21" s="47">
        <f>IF($A21='Phase Overheads'!$C$6,$H$18*'Phase Overheads'!$B$6,0)</f>
        <v>0</v>
      </c>
      <c r="F21" s="47">
        <f>SUM(B21:E21)</f>
        <v>54.324999999999996</v>
      </c>
      <c r="G21" s="47">
        <f>F21*'Phase Overheads'!$B$7</f>
        <v>5.4325000000000001</v>
      </c>
      <c r="H21" s="47">
        <f>F21+G21</f>
        <v>59.757499999999993</v>
      </c>
      <c r="I21" s="57">
        <f>INDEX(Parameters!$B$4:$B$9,MATCH($A21,Parameters!$A$4:$A$9,0))</f>
        <v>6500</v>
      </c>
      <c r="J21" s="58">
        <f>H21*I21</f>
        <v>388423.74999999994</v>
      </c>
    </row>
    <row r="22" spans="1:10">
      <c r="A22" s="59" t="str">
        <f>Parameters!A5</f>
        <v>Functional consultant</v>
      </c>
      <c r="B22" s="50">
        <f>SUMIF($F$9:$F$17,$A22,$E$9:$E$17)+IF($A22=Parameters!$A$4,$G$18,0)</f>
        <v>156.5</v>
      </c>
      <c r="C22" s="50">
        <f>IF($A22='Phase Overheads'!$C$4,$H$18*'Phase Overheads'!$B$4,0)</f>
        <v>0</v>
      </c>
      <c r="D22" s="50">
        <f>IF($A22='Phase Overheads'!$C$5,$H$18*'Phase Overheads'!$B$5,0)</f>
        <v>116.26500000000001</v>
      </c>
      <c r="E22" s="50">
        <f>IF($A22='Phase Overheads'!$C$6,$H$18*'Phase Overheads'!$B$6,0)</f>
        <v>0</v>
      </c>
      <c r="F22" s="50">
        <f>SUM(B22:E22)</f>
        <v>272.76499999999999</v>
      </c>
      <c r="G22" s="50">
        <f>F22*'Phase Overheads'!$B$7</f>
        <v>27.276499999999999</v>
      </c>
      <c r="H22" s="50">
        <f>F22+G22</f>
        <v>300.04149999999998</v>
      </c>
      <c r="I22" s="60">
        <f>INDEX(Parameters!$B$4:$B$9,MATCH($A22,Parameters!$A$4:$A$9,0))</f>
        <v>5200</v>
      </c>
      <c r="J22" s="61">
        <f>H22*I22</f>
        <v>1560215.7999999998</v>
      </c>
    </row>
    <row r="23" spans="1:10">
      <c r="A23" s="56" t="str">
        <f>Parameters!A6</f>
        <v>Developer</v>
      </c>
      <c r="B23" s="47">
        <f>SUMIF($F$9:$F$17,$A23,$E$9:$E$17)+IF($A23=Parameters!$A$4,$G$18,0)</f>
        <v>256.5</v>
      </c>
      <c r="C23" s="47">
        <f>IF($A23='Phase Overheads'!$C$4,$H$18*'Phase Overheads'!$B$4,0)</f>
        <v>0</v>
      </c>
      <c r="D23" s="47">
        <f>IF($A23='Phase Overheads'!$C$5,$H$18*'Phase Overheads'!$B$5,0)</f>
        <v>0</v>
      </c>
      <c r="E23" s="47">
        <f>IF($A23='Phase Overheads'!$C$6,$H$18*'Phase Overheads'!$B$6,0)</f>
        <v>0</v>
      </c>
      <c r="F23" s="47">
        <f>SUM(B23:E23)</f>
        <v>256.5</v>
      </c>
      <c r="G23" s="47">
        <f>F23*'Phase Overheads'!$B$7</f>
        <v>25.650000000000002</v>
      </c>
      <c r="H23" s="47">
        <f>F23+G23</f>
        <v>282.14999999999998</v>
      </c>
      <c r="I23" s="57">
        <f>INDEX(Parameters!$B$4:$B$9,MATCH($A23,Parameters!$A$4:$A$9,0))</f>
        <v>4800</v>
      </c>
      <c r="J23" s="58">
        <f>H23*I23</f>
        <v>1354320</v>
      </c>
    </row>
    <row r="24" spans="1:10">
      <c r="A24" s="59" t="str">
        <f>Parameters!A7</f>
        <v>PM</v>
      </c>
      <c r="B24" s="50">
        <f>SUMIF($F$9:$F$17,$A24,$E$9:$E$17)+IF($A24=Parameters!$A$4,$G$18,0)</f>
        <v>0</v>
      </c>
      <c r="C24" s="50">
        <f>IF($A24='Phase Overheads'!$C$4,$H$18*'Phase Overheads'!$B$4,0)</f>
        <v>69.759</v>
      </c>
      <c r="D24" s="50">
        <f>IF($A24='Phase Overheads'!$C$5,$H$18*'Phase Overheads'!$B$5,0)</f>
        <v>0</v>
      </c>
      <c r="E24" s="50">
        <f>IF($A24='Phase Overheads'!$C$6,$H$18*'Phase Overheads'!$B$6,0)</f>
        <v>0</v>
      </c>
      <c r="F24" s="50">
        <f>SUM(B24:E24)</f>
        <v>69.759</v>
      </c>
      <c r="G24" s="50">
        <f>F24*'Phase Overheads'!$B$7</f>
        <v>6.9759000000000002</v>
      </c>
      <c r="H24" s="50">
        <f>F24+G24</f>
        <v>76.734899999999996</v>
      </c>
      <c r="I24" s="60">
        <f>INDEX(Parameters!$B$4:$B$9,MATCH($A24,Parameters!$A$4:$A$9,0))</f>
        <v>6000</v>
      </c>
      <c r="J24" s="61">
        <f>H24*I24</f>
        <v>460409.39999999997</v>
      </c>
    </row>
    <row r="25" spans="1:10">
      <c r="A25" s="56" t="str">
        <f>Parameters!A8</f>
        <v>Data</v>
      </c>
      <c r="B25" s="47">
        <f>SUMIF($F$9:$F$17,$A25,$E$9:$E$17)+IF($A25=Parameters!$A$4,$G$18,0)</f>
        <v>114</v>
      </c>
      <c r="C25" s="47">
        <f>IF($A25='Phase Overheads'!$C$4,$H$18*'Phase Overheads'!$B$4,0)</f>
        <v>0</v>
      </c>
      <c r="D25" s="47">
        <f>IF($A25='Phase Overheads'!$C$5,$H$18*'Phase Overheads'!$B$5,0)</f>
        <v>0</v>
      </c>
      <c r="E25" s="47">
        <f>IF($A25='Phase Overheads'!$C$6,$H$18*'Phase Overheads'!$B$6,0)</f>
        <v>0</v>
      </c>
      <c r="F25" s="47">
        <f>SUM(B25:E25)</f>
        <v>114</v>
      </c>
      <c r="G25" s="47">
        <f>F25*'Phase Overheads'!$B$7</f>
        <v>11.4</v>
      </c>
      <c r="H25" s="47">
        <f>F25+G25</f>
        <v>125.4</v>
      </c>
      <c r="I25" s="57">
        <f>INDEX(Parameters!$B$4:$B$9,MATCH($A25,Parameters!$A$4:$A$9,0))</f>
        <v>4800</v>
      </c>
      <c r="J25" s="58">
        <f>H25*I25</f>
        <v>601920</v>
      </c>
    </row>
    <row r="26" spans="1:10">
      <c r="A26" s="59" t="str">
        <f>Parameters!A9</f>
        <v>Change</v>
      </c>
      <c r="B26" s="50">
        <f>SUMIF($F$9:$F$17,$A26,$E$9:$E$17)+IF($A26=Parameters!$A$4,$G$18,0)</f>
        <v>0</v>
      </c>
      <c r="C26" s="50">
        <f>IF($A26='Phase Overheads'!$C$4,$H$18*'Phase Overheads'!$B$4,0)</f>
        <v>0</v>
      </c>
      <c r="D26" s="50">
        <f>IF($A26='Phase Overheads'!$C$5,$H$18*'Phase Overheads'!$B$5,0)</f>
        <v>0</v>
      </c>
      <c r="E26" s="50">
        <f>IF($A26='Phase Overheads'!$C$6,$H$18*'Phase Overheads'!$B$6,0)</f>
        <v>34.8795</v>
      </c>
      <c r="F26" s="50">
        <f>SUM(B26:E26)</f>
        <v>34.8795</v>
      </c>
      <c r="G26" s="50">
        <f>F26*'Phase Overheads'!$B$7</f>
        <v>3.4879500000000001</v>
      </c>
      <c r="H26" s="50">
        <f>F26+G26</f>
        <v>38.367449999999998</v>
      </c>
      <c r="I26" s="60">
        <f>INDEX(Parameters!$B$4:$B$9,MATCH($A26,Parameters!$A$4:$A$9,0))</f>
        <v>4500</v>
      </c>
      <c r="J26" s="61">
        <f>H26*I26</f>
        <v>172653.52499999999</v>
      </c>
    </row>
    <row r="27" spans="1:10">
      <c r="A27" s="42" t="s">
        <v>105</v>
      </c>
      <c r="B27" s="54">
        <f>SUM(B21:B26)</f>
        <v>581.32500000000005</v>
      </c>
      <c r="C27" s="54">
        <f>SUM(C21:C26)</f>
        <v>69.759</v>
      </c>
      <c r="D27" s="54">
        <f>SUM(D21:D26)</f>
        <v>116.26500000000001</v>
      </c>
      <c r="E27" s="54">
        <f>SUM(E21:E26)</f>
        <v>34.8795</v>
      </c>
      <c r="F27" s="54">
        <f>SUM(F21:F26)</f>
        <v>802.22849999999994</v>
      </c>
      <c r="G27" s="54">
        <f>SUM(G21:G26)</f>
        <v>80.222849999999994</v>
      </c>
      <c r="H27" s="54">
        <f>SUM(H21:H26)</f>
        <v>882.45134999999993</v>
      </c>
      <c r="I27" s="53">
        <f>IF(H27=0,0,J27/H27)</f>
        <v>5142.4279366788887</v>
      </c>
      <c r="J27" s="62">
        <f>SUM(J21:J26)</f>
        <v>4537942.4749999996</v>
      </c>
    </row>
    <row r="28" spans="1:10">
      <c r="A28" s="2"/>
      <c r="B28" s="2"/>
      <c r="C28" s="2"/>
      <c r="D28" s="2"/>
      <c r="E28" s="2"/>
      <c r="F28" s="2"/>
      <c r="G28" s="2"/>
      <c r="H28" s="2"/>
      <c r="I28" s="63" t="s">
        <v>110</v>
      </c>
      <c r="J28" s="2"/>
    </row>
    <row r="29" spans="1:10">
      <c r="A29" s="2"/>
      <c r="B29" s="2"/>
      <c r="C29" s="2"/>
      <c r="D29" s="2"/>
      <c r="E29" s="2"/>
      <c r="F29" s="2"/>
      <c r="G29" s="2"/>
      <c r="H29" s="2"/>
      <c r="I29" s="2"/>
      <c r="J29" s="2"/>
    </row>
    <row r="30" spans="1:10">
      <c r="A30" s="64" t="s">
        <v>111</v>
      </c>
      <c r="B30" s="65"/>
      <c r="C30" s="2"/>
      <c r="D30" s="2"/>
      <c r="E30" s="2"/>
      <c r="F30" s="2"/>
      <c r="G30" s="2"/>
      <c r="H30" s="2"/>
      <c r="I30" s="2"/>
      <c r="J30" s="2"/>
    </row>
    <row r="31" spans="1:10">
      <c r="A31" s="27" t="s">
        <v>112</v>
      </c>
      <c r="B31" s="49">
        <f>H27</f>
        <v>882.45134999999993</v>
      </c>
      <c r="C31" s="2"/>
      <c r="D31" s="2"/>
      <c r="E31" s="2"/>
      <c r="F31" s="2"/>
      <c r="G31" s="2"/>
      <c r="H31" s="2"/>
      <c r="I31" s="2"/>
      <c r="J31" s="2"/>
    </row>
    <row r="32" spans="1:10">
      <c r="A32" s="27" t="s">
        <v>113</v>
      </c>
      <c r="B32" s="66">
        <f>J27</f>
        <v>4537942.4749999996</v>
      </c>
      <c r="C32" s="2"/>
      <c r="D32" s="2"/>
      <c r="E32" s="2"/>
      <c r="F32" s="2"/>
      <c r="G32" s="2"/>
      <c r="H32" s="2"/>
      <c r="I32" s="2"/>
      <c r="J32" s="2"/>
    </row>
    <row r="33" spans="1:10">
      <c r="A33" s="27" t="s">
        <v>114</v>
      </c>
      <c r="B33" s="58">
        <f>I27</f>
        <v>5142.4279366788887</v>
      </c>
      <c r="C33" s="2"/>
      <c r="D33" s="2"/>
      <c r="E33" s="2"/>
      <c r="F33" s="2"/>
      <c r="G33" s="2"/>
      <c r="H33" s="2"/>
      <c r="I33" s="2"/>
      <c r="J33" s="2"/>
    </row>
    <row r="34" spans="1:10">
      <c r="A34" s="27" t="s">
        <v>115</v>
      </c>
      <c r="B34" s="67">
        <f>IF(H18=0,0,(C27+D27+E27)/H18)</f>
        <v>0.38</v>
      </c>
      <c r="C34" s="2"/>
      <c r="D34" s="2"/>
      <c r="E34" s="2"/>
      <c r="F34" s="2"/>
      <c r="G34" s="2"/>
      <c r="H34" s="2"/>
      <c r="I34" s="2"/>
      <c r="J34" s="2"/>
    </row>
    <row r="35" spans="1:10">
      <c r="A35" s="27" t="s">
        <v>116</v>
      </c>
      <c r="B35" s="68">
        <f>ROUND(C27+D27+E27-H18*'Phase Overheads'!B8,6)</f>
        <v>0</v>
      </c>
      <c r="C35" s="2"/>
      <c r="D35" s="2"/>
      <c r="E35" s="2"/>
      <c r="F35" s="2"/>
      <c r="G35" s="2"/>
      <c r="H35" s="2"/>
      <c r="I35" s="2"/>
      <c r="J35" s="2"/>
    </row>
    <row r="36" spans="1:10">
      <c r="A36" s="29" t="s">
        <v>117</v>
      </c>
      <c r="B36" s="69">
        <f>ROUND(B27-H18,6)</f>
        <v>0</v>
      </c>
      <c r="C36" s="2"/>
      <c r="D36" s="2"/>
      <c r="E36" s="2"/>
      <c r="F36" s="2"/>
      <c r="G36" s="2"/>
      <c r="H36" s="2"/>
      <c r="I36" s="2"/>
      <c r="J36" s="2"/>
    </row>
  </sheetData>
  <mergeCells count="2">
    <mergeCell ref="A1:J1"/>
    <mergeCell ref="A2:J2"/>
  </mergeCells>
  <pageMargins left="0.7" right="0.7" top="0.75" bottom="0.75" header="0.3" footer="0.3"/>
</worksheet>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i:0#.f|membership|loretteroos@microsoft.com</cp:lastModifiedBy>
  <cp:revision/>
  <dcterms:created xsi:type="dcterms:W3CDTF">2026-10-19T04:53:13Z</dcterms:created>
  <dcterms:modified xsi:type="dcterms:W3CDTF">2026-10-21T09:30:38Z</dcterms:modified>
  <cp:category/>
  <cp:contentStatus/>
</cp:coreProperties>
</file>