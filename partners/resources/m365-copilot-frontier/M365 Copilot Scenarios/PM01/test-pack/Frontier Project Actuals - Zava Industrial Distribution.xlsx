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https://microsofteur-my.sharepoint.com/personal/loretteroos_microsoft_com/Documents/Documents/Cowork/Tasks/create-copilot-presentation-deck-for-2026-10-05/output/Frontier Test Pack/"/>
    </mc:Choice>
  </mc:AlternateContent>
  <xr:revisionPtr revIDLastSave="4" documentId="13_ncr:101_{FC2655E7-8930-432B-9F4A-50B3BDAD7103}" xr6:coauthVersionLast="47" xr6:coauthVersionMax="47" xr10:uidLastSave="{B0EA9E8E-54AC-4094-87B1-3D7B1F703CA6}"/>
  <bookViews>
    <workbookView xWindow="-23150" yWindow="-110" windowWidth="23260" windowHeight="14860" xr2:uid="{00000000-000D-0000-FFFF-FFFF00000000}"/>
  </bookViews>
  <sheets>
    <sheet name="Read me" sheetId="1" r:id="rId1"/>
    <sheet name="Actuals" sheetId="2" r:id="rId2"/>
    <sheet name="Variance by Item Typ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3" l="1"/>
  <c r="C14" i="3"/>
  <c r="F13" i="3"/>
  <c r="E13" i="3"/>
  <c r="D13" i="3"/>
  <c r="C13" i="3"/>
  <c r="B13" i="3"/>
  <c r="F12" i="3"/>
  <c r="E12" i="3"/>
  <c r="D12" i="3"/>
  <c r="C12" i="3"/>
  <c r="B12" i="3"/>
  <c r="F11" i="3"/>
  <c r="E11" i="3"/>
  <c r="D11" i="3"/>
  <c r="C11" i="3"/>
  <c r="B11" i="3"/>
  <c r="F10" i="3"/>
  <c r="E10" i="3"/>
  <c r="D10" i="3"/>
  <c r="C10" i="3"/>
  <c r="B10" i="3"/>
  <c r="F9" i="3"/>
  <c r="E9" i="3"/>
  <c r="D9" i="3"/>
  <c r="C9" i="3"/>
  <c r="B9" i="3"/>
  <c r="F8" i="3"/>
  <c r="E8" i="3"/>
  <c r="D8" i="3"/>
  <c r="C8" i="3"/>
  <c r="B8" i="3"/>
  <c r="F7" i="3"/>
  <c r="E7" i="3"/>
  <c r="D7" i="3"/>
  <c r="C7" i="3"/>
  <c r="B7" i="3"/>
  <c r="F6" i="3"/>
  <c r="E6" i="3"/>
  <c r="D6" i="3"/>
  <c r="C6" i="3"/>
  <c r="B6" i="3"/>
  <c r="F5" i="3"/>
  <c r="E5" i="3"/>
  <c r="D5" i="3"/>
  <c r="C5" i="3"/>
  <c r="B5" i="3"/>
  <c r="F4" i="3"/>
  <c r="E4" i="3"/>
  <c r="D4" i="3"/>
  <c r="C4" i="3"/>
  <c r="B4" i="3"/>
  <c r="G49" i="2"/>
  <c r="F49" i="2"/>
  <c r="E49" i="2"/>
  <c r="D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</calcChain>
</file>

<file path=xl/sharedStrings.xml><?xml version="1.0" encoding="utf-8"?>
<sst xmlns="http://schemas.openxmlformats.org/spreadsheetml/2006/main" count="240" uniqueCount="141">
  <si>
    <t>Frontier Project Actuals – Zava Industrial Distribution</t>
  </si>
  <si>
    <t>Fictitious test data – Copilot for Frontier Consultancy scenario testing</t>
  </si>
  <si>
    <t>Item</t>
  </si>
  <si>
    <t>Detail</t>
  </si>
  <si>
    <t>Purpose</t>
  </si>
  <si>
    <t>Closed-project actuals from a comparable Frontier Consulting implementation, used as historical evidence when estimating new D365 bids (e.g. Zava, ZAV-RFP-2026-014). Copilot uses it to sanity-check estimates and apply lessons learned.</t>
  </si>
  <si>
    <t>Test-data notice</t>
  </si>
  <si>
    <t>Fictitious test data – Copilot for Frontier Consultancy scenario testing. All companies, people and figures are fictitious.</t>
  </si>
  <si>
    <t>Customer</t>
  </si>
  <si>
    <t>Zava Industrial Distribution LLC – distributor of industrial equipment, pumps, valves and electrical supplies; HQ Dubai, branches in Abu Dhabi and Dammam (fictitious).</t>
  </si>
  <si>
    <t>Scope</t>
  </si>
  <si>
    <t>D365 Sales, D365 Customer Service, D365 Finance; Power BI; 6 integrations; 8 data migration objects.</t>
  </si>
  <si>
    <t>Timeline</t>
  </si>
  <si>
    <t>Kick-off 6 Jan 2025 · Go-live 1 Dec 2025 · Hypercare to 31 Jan 2026 · Project closed 27 Feb 2026.</t>
  </si>
  <si>
    <t>Frontier team</t>
  </si>
  <si>
    <t>Practice Lead: Lorette Roos · Lead Solution Architect: Omar Khalil · Finance lead: James Okafor · PM: Priya Nair · CE Functional Lead: Lina Mansour · Technical Lead: Arjun Mehta · Data Migration Lead: Noura Al Hashimi</t>
  </si>
  <si>
    <t>Headline variances</t>
  </si>
  <si>
    <t>Data migration +38% · Integrations +27% · Reports +22% · Configuration, forms and workflows within ±10%.</t>
  </si>
  <si>
    <t>Units</t>
  </si>
  <si>
    <t>All effort in person-days. Variance % = (Actual − Estimated) ÷ Estimated.</t>
  </si>
  <si>
    <t>Sheet map</t>
  </si>
  <si>
    <t xml:space="preserve">  Actuals</t>
  </si>
  <si>
    <t>45 work packages with item type, complexity, estimated and actual days, variance and comment; totals by formula.</t>
  </si>
  <si>
    <t xml:space="preserve">  Variance by Item Type</t>
  </si>
  <si>
    <t>Roll-up by item type (SUMIF formulas) with lessons learned.</t>
  </si>
  <si>
    <t>Zava Industrial Distribution – D365 implementation: estimate vs actual (closed project)</t>
  </si>
  <si>
    <t>D365 Sales + Customer Service + Finance · Project closed 27 Feb 2026 · Fictitious test data – Copilot for Frontier Consultancy scenario testing</t>
  </si>
  <si>
    <t>Work package</t>
  </si>
  <si>
    <t>Item type</t>
  </si>
  <si>
    <t>Complexity</t>
  </si>
  <si>
    <t>Estimated days</t>
  </si>
  <si>
    <t>Actual days</t>
  </si>
  <si>
    <t>Variance %</t>
  </si>
  <si>
    <t>Comment</t>
  </si>
  <si>
    <t>Sales – Account, contact &amp; hierarchy model</t>
  </si>
  <si>
    <t>Configuration</t>
  </si>
  <si>
    <t>Medium</t>
  </si>
  <si>
    <t>Minor rework after hierarchy workshop</t>
  </si>
  <si>
    <t>Sales – Lead-to-opportunity business process flow</t>
  </si>
  <si>
    <t>Workflow/Power Automate</t>
  </si>
  <si>
    <t>Extra stage (Site Visit) added in design</t>
  </si>
  <si>
    <t>Sales – Product catalogue &amp; price lists</t>
  </si>
  <si>
    <t>Three currencies; contract prices added</t>
  </si>
  <si>
    <t>Sales – Quote document template (Word)</t>
  </si>
  <si>
    <t>Simple</t>
  </si>
  <si>
    <t>English only; Arabic layout descoped</t>
  </si>
  <si>
    <t>Sales – Quote discount approval flow</t>
  </si>
  <si>
    <t>Reused standard approval pattern</t>
  </si>
  <si>
    <t>Sales – Credit-hold check plug-in</t>
  </si>
  <si>
    <t>Plug-in</t>
  </si>
  <si>
    <t>Finance API response slower than expected; caching added</t>
  </si>
  <si>
    <t>Sales – Opportunity &amp; quote forms and views</t>
  </si>
  <si>
    <t>Form/view</t>
  </si>
  <si>
    <t>As estimated</t>
  </si>
  <si>
    <t>Sales – Security roles &amp; business units</t>
  </si>
  <si>
    <t>Extra role for branch managers</t>
  </si>
  <si>
    <t>Customer Service – Case model &amp; categories</t>
  </si>
  <si>
    <t>Customer Service – Unified routing &amp; queues</t>
  </si>
  <si>
    <t>Complex</t>
  </si>
  <si>
    <t>Skills-based routing tuned during UAT</t>
  </si>
  <si>
    <t>Customer Service – SLA &amp; business-hours calendars</t>
  </si>
  <si>
    <t>Public-holiday calendars for 3 countries</t>
  </si>
  <si>
    <t>Customer Service – Email-to-case &amp; templates</t>
  </si>
  <si>
    <t>Customer Service – Knowledge base (English/Arabic)</t>
  </si>
  <si>
    <t>Customer loaded articles themselves</t>
  </si>
  <si>
    <t>Customer Service – Agent workspace forms &amp; dashboards</t>
  </si>
  <si>
    <t>Additional supervisor dashboard</t>
  </si>
  <si>
    <t>Customer Service – Warranty validation plug-in</t>
  </si>
  <si>
    <t>Serial-number lookup edge cases</t>
  </si>
  <si>
    <t>Finance – Chart of accounts &amp; financial dimensions</t>
  </si>
  <si>
    <t>Late change to cost-centre structure</t>
  </si>
  <si>
    <t>Finance – Legal entities &amp; multi-currency</t>
  </si>
  <si>
    <t>Finance – VAT set-up UAE / KSA / Oman</t>
  </si>
  <si>
    <t>KSA reverse-charge scenarios added</t>
  </si>
  <si>
    <t>Finance – Accounts payable &amp; three-way matching</t>
  </si>
  <si>
    <t>Finance – Accounts receivable, collections &amp; PDC</t>
  </si>
  <si>
    <t>PDC bounce process clarified in UAT</t>
  </si>
  <si>
    <t>Finance – Fixed assets</t>
  </si>
  <si>
    <t>Finance – Bank reconciliation (MT940)</t>
  </si>
  <si>
    <t>One bank's MT940 format non-standard</t>
  </si>
  <si>
    <t>Finance – Intercompany &amp; eliminations</t>
  </si>
  <si>
    <t>X++ class</t>
  </si>
  <si>
    <t>Extra settlement batch job</t>
  </si>
  <si>
    <t>Finance – Journal &amp; invoice approval workflows</t>
  </si>
  <si>
    <t>Finance – Bank payment file formats (ER)</t>
  </si>
  <si>
    <t>Extension</t>
  </si>
  <si>
    <t>Bank format revision mid-project</t>
  </si>
  <si>
    <t>Report – Management P&amp;L by branch (financial reports)</t>
  </si>
  <si>
    <t>Report</t>
  </si>
  <si>
    <t>Row definitions rebuilt after CoA change</t>
  </si>
  <si>
    <t>Report – AR ageing &amp; collections (Power BI)</t>
  </si>
  <si>
    <t>Additional drill-through requested</t>
  </si>
  <si>
    <t>Report – Sales pipeline dashboard (Power BI)</t>
  </si>
  <si>
    <t>Row-level security by branch</t>
  </si>
  <si>
    <t>Report – Service SLA dashboard (Power BI)</t>
  </si>
  <si>
    <t>SLA KPI definitions changed twice</t>
  </si>
  <si>
    <t>Report – Bilingual tax invoice (SSRS)</t>
  </si>
  <si>
    <t>Arabic font rendering issues in PDF</t>
  </si>
  <si>
    <t>Report – Executive KPI dashboard (Power BI)</t>
  </si>
  <si>
    <t>Minor visual changes</t>
  </si>
  <si>
    <t>Integration – Dual-write CE ↔ Finance (customers, products, orders)</t>
  </si>
  <si>
    <t>Integration</t>
  </si>
  <si>
    <t>Initial sync failures; custom maps for party model</t>
  </si>
  <si>
    <t>Integration – Bank host-to-host payments</t>
  </si>
  <si>
    <t>Bank certification cycle took 3 extra weeks</t>
  </si>
  <si>
    <t>Integration – Telephony CTI screen-pop</t>
  </si>
  <si>
    <t>Vendor connector version mismatch</t>
  </si>
  <si>
    <t>Integration – Website lead-capture API</t>
  </si>
  <si>
    <t>Additional spam filtering</t>
  </si>
  <si>
    <t>Integration – Courier tracking API</t>
  </si>
  <si>
    <t>Courier API rate limits; batching redesign</t>
  </si>
  <si>
    <t>Integration – Legacy WMS stock feed</t>
  </si>
  <si>
    <t>Legacy WMS undocumented; reverse-engineered file layout</t>
  </si>
  <si>
    <t>Data migration – Customers &amp; contacts</t>
  </si>
  <si>
    <t>Data migration object</t>
  </si>
  <si>
    <t>High duplicate rate in legacy CRM; extra cleansing cycles</t>
  </si>
  <si>
    <t>Data migration – Vendors</t>
  </si>
  <si>
    <t>Vendor master duplicates and missing bank details</t>
  </si>
  <si>
    <t>Data migration – Products / released products</t>
  </si>
  <si>
    <t>Unit-of-measure conversions incomplete</t>
  </si>
  <si>
    <t>Data migration – Open sales orders</t>
  </si>
  <si>
    <t>Two additional mock loads</t>
  </si>
  <si>
    <t>Data migration – Open AR invoices</t>
  </si>
  <si>
    <t>Reconciliation differences with legacy aged debt</t>
  </si>
  <si>
    <t>Data migration – Open AP invoices</t>
  </si>
  <si>
    <t>Extra mock load</t>
  </si>
  <si>
    <t>Data migration – GL opening balances</t>
  </si>
  <si>
    <t>Late audit adjustments</t>
  </si>
  <si>
    <t>Data migration – Historical cases (24 months)</t>
  </si>
  <si>
    <t>Attachment volumes larger than profiled</t>
  </si>
  <si>
    <t>Total</t>
  </si>
  <si>
    <t>Variance by item type – where estimates ran over</t>
  </si>
  <si>
    <t>Calculated from the Actuals sheet · Fictitious test data – Copilot for Frontier Consultancy scenario testing</t>
  </si>
  <si>
    <t>Work packages</t>
  </si>
  <si>
    <t>Variance (days)</t>
  </si>
  <si>
    <t>Check: matches Actuals total (should be 0)</t>
  </si>
  <si>
    <t>Lessons learned</t>
  </si>
  <si>
    <t>Data migration ran 38% over: legacy master data (customers, vendors) had high duplicate rates; budget at least 3 mock loads and a cleansing owner on the customer side.</t>
  </si>
  <si>
    <t>Integrations ran 27% over: third-party dependencies (bank certification, courier API limits, undocumented legacy WMS) – secure API specifications before fixing price.</t>
  </si>
  <si>
    <t>Reports ran 22% over: KPI definitions and the chart of accounts changed late; freeze report definitions at design sign-off and treat bilingual (Arabic) layouts as Complex.</t>
  </si>
  <si>
    <t>Configuration, forms and workflows landed within ±10% of estimate – the complexity matrix is reliable for these item types.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</si>
</sst>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\+0.0%;\-0.0%;0.0%"/>
    <numFmt numFmtId="166" formatCode="#,##0.0;\(#,##0.0\);0.0"/>
  </numFmts>
  <fonts count="8">
    <font>
      <sz val="11"/>
      <color theme="1"/>
      <name val="Calibri"/>
      <family val="2"/>
      <scheme val="minor"/>
    </font>
    <font>
      <b/>
      <sz val="16"/>
      <color rgb="FF1F2A5C"/>
      <name val="Aptos"/>
    </font>
    <font>
      <b/>
      <sz val="11"/>
      <color rgb="FFFFFFFF"/>
      <name val="Calibri"/>
      <family val="2"/>
      <scheme val="minor"/>
    </font>
    <font>
      <b/>
      <sz val="11"/>
      <color rgb="FFFFFFFF"/>
      <name val="Aptos"/>
    </font>
    <font>
      <sz val="11"/>
      <color theme="1"/>
      <name val="Aptos"/>
    </font>
    <font>
      <b/>
      <sz val="11"/>
      <color theme="1"/>
      <name val="Aptos"/>
    </font>
    <font>
      <i/>
      <sz val="9"/>
      <color rgb="FF6B7280"/>
      <name val="Aptos"/>
    </font>
    <font>
      <b/>
      <sz val="14"/>
      <color rgb="FF1F2A5C"/>
      <name val="Aptos"/>
    </font>
  </fonts>
  <fills count="5">
    <fill>
      <patternFill patternType="none"/>
    </fill>
    <fill>
      <patternFill patternType="gray125"/>
    </fill>
    <fill>
      <patternFill patternType="solid">
        <fgColor rgb="FF1F2A5C"/>
        <bgColor indexed="64"/>
      </patternFill>
    </fill>
    <fill>
      <patternFill patternType="solid">
        <fgColor rgb="FFEEF1F8"/>
        <bgColor indexed="64"/>
      </patternFill>
    </fill>
    <fill>
      <patternFill patternType="solid">
        <fgColor rgb="FF4FD1C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1D5DB"/>
      </top>
      <bottom/>
      <diagonal/>
    </border>
    <border>
      <left/>
      <right/>
      <top/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 style="thin">
        <color rgb="FFD1D5DB"/>
      </right>
      <top/>
      <bottom/>
      <diagonal/>
    </border>
    <border>
      <left/>
      <right style="thin">
        <color rgb="FFD1D5DB"/>
      </right>
      <top/>
      <bottom style="thin">
        <color rgb="FFD1D5DB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0" fontId="5" fillId="0" borderId="3" xfId="0" applyFont="1" applyBorder="1" applyAlignment="1">
      <alignment vertical="top"/>
    </xf>
    <xf numFmtId="0" fontId="4" fillId="0" borderId="6" xfId="0" applyFont="1" applyBorder="1" applyAlignment="1">
      <alignment vertical="top" wrapText="1"/>
    </xf>
    <xf numFmtId="0" fontId="5" fillId="0" borderId="4" xfId="0" applyFont="1" applyBorder="1" applyAlignment="1">
      <alignment vertical="top"/>
    </xf>
    <xf numFmtId="0" fontId="4" fillId="0" borderId="7" xfId="0" applyFont="1" applyBorder="1" applyAlignment="1">
      <alignment vertical="top" wrapText="1"/>
    </xf>
    <xf numFmtId="0" fontId="5" fillId="3" borderId="4" xfId="0" applyFont="1" applyFill="1" applyBorder="1" applyAlignment="1">
      <alignment vertical="top"/>
    </xf>
    <xf numFmtId="0" fontId="5" fillId="3" borderId="7" xfId="0" applyFont="1" applyFill="1" applyBorder="1" applyAlignment="1">
      <alignment vertical="top" wrapText="1"/>
    </xf>
    <xf numFmtId="0" fontId="5" fillId="0" borderId="5" xfId="0" applyFont="1" applyBorder="1" applyAlignment="1">
      <alignment vertical="top"/>
    </xf>
    <xf numFmtId="0" fontId="4" fillId="0" borderId="8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4" fillId="0" borderId="7" xfId="0" applyFont="1" applyBorder="1"/>
    <xf numFmtId="0" fontId="4" fillId="3" borderId="4" xfId="0" applyFont="1" applyFill="1" applyBorder="1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right"/>
    </xf>
    <xf numFmtId="165" fontId="4" fillId="3" borderId="0" xfId="0" applyNumberFormat="1" applyFont="1" applyFill="1" applyAlignment="1">
      <alignment horizontal="right"/>
    </xf>
    <xf numFmtId="0" fontId="4" fillId="3" borderId="7" xfId="0" applyFont="1" applyFill="1" applyBorder="1"/>
    <xf numFmtId="0" fontId="5" fillId="4" borderId="5" xfId="0" applyFont="1" applyFill="1" applyBorder="1"/>
    <xf numFmtId="0" fontId="5" fillId="4" borderId="2" xfId="0" applyFont="1" applyFill="1" applyBorder="1"/>
    <xf numFmtId="164" fontId="5" fillId="4" borderId="2" xfId="0" applyNumberFormat="1" applyFont="1" applyFill="1" applyBorder="1" applyAlignment="1">
      <alignment horizontal="right"/>
    </xf>
    <xf numFmtId="165" fontId="5" fillId="4" borderId="2" xfId="0" applyNumberFormat="1" applyFont="1" applyFill="1" applyBorder="1" applyAlignment="1">
      <alignment horizontal="right"/>
    </xf>
    <xf numFmtId="0" fontId="5" fillId="4" borderId="8" xfId="0" applyFont="1" applyFill="1" applyBorder="1"/>
    <xf numFmtId="3" fontId="4" fillId="0" borderId="0" xfId="0" applyNumberFormat="1" applyFont="1"/>
    <xf numFmtId="166" fontId="4" fillId="0" borderId="0" xfId="0" applyNumberFormat="1" applyFont="1"/>
    <xf numFmtId="165" fontId="4" fillId="0" borderId="7" xfId="0" applyNumberFormat="1" applyFont="1" applyBorder="1"/>
    <xf numFmtId="3" fontId="4" fillId="3" borderId="0" xfId="0" applyNumberFormat="1" applyFont="1" applyFill="1"/>
    <xf numFmtId="166" fontId="4" fillId="3" borderId="0" xfId="0" applyNumberFormat="1" applyFont="1" applyFill="1"/>
    <xf numFmtId="165" fontId="4" fillId="3" borderId="7" xfId="0" applyNumberFormat="1" applyFont="1" applyFill="1" applyBorder="1"/>
    <xf numFmtId="3" fontId="5" fillId="4" borderId="2" xfId="0" applyNumberFormat="1" applyFont="1" applyFill="1" applyBorder="1"/>
    <xf numFmtId="166" fontId="5" fillId="4" borderId="2" xfId="0" applyNumberFormat="1" applyFont="1" applyFill="1" applyBorder="1"/>
    <xf numFmtId="165" fontId="5" fillId="4" borderId="8" xfId="0" applyNumberFormat="1" applyFont="1" applyFill="1" applyBorder="1"/>
    <xf numFmtId="0" fontId="6" fillId="0" borderId="0" xfId="0" applyFont="1"/>
    <xf numFmtId="166" fontId="6" fillId="0" borderId="0" xfId="0" applyNumberFormat="1" applyFont="1"/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vertical="top" wrapText="1"/>
    </xf>
    <xf numFmtId="0" fontId="1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2" fillId="2" borderId="0" xfId="0" applyFont="1" applyFill="1" applyAlignment="1"/>
  </cellXfs>
  <cellStyles count="1">
    <cellStyle name="Normal" xfId="0" builtinId="0"/>
  </cellStyles>
  <dxfs count="2">
    <dxf>
      <font>
        <b/>
        <i val="0"/>
        <color rgb="FF9B1C1C"/>
      </font>
      <fill>
        <patternFill patternType="solid">
          <fgColor indexed="64"/>
          <bgColor rgb="FFFDE2E1"/>
        </patternFill>
      </fill>
    </dxf>
    <dxf>
      <font>
        <b/>
        <i val="0"/>
        <color rgb="FF9B1C1C"/>
      </font>
      <fill>
        <patternFill patternType="solid">
          <fgColor indexed="64"/>
          <bgColor rgb="FFFDE2E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pane ySplit="4" topLeftCell="A5" activePane="bottomLeft" state="frozen"/>
      <selection pane="bottomLeft" sqref="A1:B1"/>
    </sheetView>
  </sheetViews>
  <sheetFormatPr defaultRowHeight="15"/>
  <cols>
    <col min="1" max="1" width="28.7109375" customWidth="1"/>
    <col min="2" max="2" width="100.7109375" customWidth="1"/>
  </cols>
  <sheetData>
    <row r="1" spans="1:2" ht="21">
      <c r="A1" s="43" t="s">
        <v>0</v>
      </c>
      <c r="B1" s="43"/>
    </row>
    <row r="2" spans="1:2">
      <c r="A2" s="41" t="s">
        <v>1</v>
      </c>
      <c r="B2" s="41"/>
    </row>
    <row r="3" spans="1:2">
      <c r="A3" s="2"/>
      <c r="B3" s="2"/>
    </row>
    <row r="4" spans="1:2">
      <c r="A4" s="1" t="s">
        <v>2</v>
      </c>
      <c r="B4" s="1" t="s">
        <v>3</v>
      </c>
    </row>
    <row r="5" spans="1:2" ht="43.5">
      <c r="A5" s="3" t="s">
        <v>4</v>
      </c>
      <c r="B5" s="4" t="s">
        <v>5</v>
      </c>
    </row>
    <row r="6" spans="1:2" ht="30">
      <c r="A6" s="5" t="s">
        <v>6</v>
      </c>
      <c r="B6" s="6" t="s">
        <v>7</v>
      </c>
    </row>
    <row r="7" spans="1:2" ht="29.25">
      <c r="A7" s="5" t="s">
        <v>8</v>
      </c>
      <c r="B7" s="6" t="s">
        <v>9</v>
      </c>
    </row>
    <row r="8" spans="1:2">
      <c r="A8" s="5" t="s">
        <v>10</v>
      </c>
      <c r="B8" s="6" t="s">
        <v>11</v>
      </c>
    </row>
    <row r="9" spans="1:2">
      <c r="A9" s="5" t="s">
        <v>12</v>
      </c>
      <c r="B9" s="6" t="s">
        <v>13</v>
      </c>
    </row>
    <row r="10" spans="1:2" ht="45">
      <c r="A10" s="5" t="s">
        <v>14</v>
      </c>
      <c r="B10" s="6" t="s">
        <v>15</v>
      </c>
    </row>
    <row r="11" spans="1:2">
      <c r="A11" s="5" t="s">
        <v>16</v>
      </c>
      <c r="B11" s="6" t="s">
        <v>17</v>
      </c>
    </row>
    <row r="12" spans="1:2">
      <c r="A12" s="5" t="s">
        <v>18</v>
      </c>
      <c r="B12" s="6" t="s">
        <v>19</v>
      </c>
    </row>
    <row r="13" spans="1:2">
      <c r="A13" s="7" t="s">
        <v>20</v>
      </c>
      <c r="B13" s="8"/>
    </row>
    <row r="14" spans="1:2" ht="30">
      <c r="A14" s="5" t="s">
        <v>21</v>
      </c>
      <c r="B14" s="6" t="s">
        <v>22</v>
      </c>
    </row>
    <row r="15" spans="1:2">
      <c r="A15" s="9" t="s">
        <v>23</v>
      </c>
      <c r="B15" s="10" t="s">
        <v>24</v>
      </c>
    </row>
    <row r="16" spans="1:2">
      <c r="A16" s="2"/>
      <c r="B16" s="2"/>
    </row>
    <row r="17" spans="1:2">
      <c r="A17" s="44" t="s">
        <v>1</v>
      </c>
      <c r="B17" s="44"/>
    </row>
  </sheetData>
  <mergeCells count="3">
    <mergeCell ref="A1:B1"/>
    <mergeCell ref="A2:B2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933C1-3E4B-400C-B696-4B5C26D56F2F}">
  <dimension ref="A1:G49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60.7109375" customWidth="1"/>
    <col min="2" max="2" width="24.7109375" customWidth="1"/>
    <col min="3" max="3" width="12.7109375" customWidth="1"/>
    <col min="4" max="4" width="14.7109375" customWidth="1"/>
    <col min="5" max="6" width="12.7109375" customWidth="1"/>
    <col min="7" max="7" width="60.7109375" customWidth="1"/>
  </cols>
  <sheetData>
    <row r="1" spans="1:7" ht="18.75">
      <c r="A1" s="45" t="s">
        <v>25</v>
      </c>
      <c r="B1" s="45"/>
      <c r="C1" s="45"/>
      <c r="D1" s="45"/>
      <c r="E1" s="45"/>
      <c r="F1" s="45"/>
      <c r="G1" s="45"/>
    </row>
    <row r="2" spans="1:7">
      <c r="A2" s="44" t="s">
        <v>26</v>
      </c>
      <c r="B2" s="44"/>
      <c r="C2" s="44"/>
      <c r="D2" s="44"/>
      <c r="E2" s="44"/>
      <c r="F2" s="44"/>
      <c r="G2" s="44"/>
    </row>
    <row r="3" spans="1:7" ht="30">
      <c r="A3" s="12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13" t="s">
        <v>33</v>
      </c>
    </row>
    <row r="4" spans="1:7">
      <c r="A4" s="14" t="s">
        <v>34</v>
      </c>
      <c r="B4" s="2" t="s">
        <v>35</v>
      </c>
      <c r="C4" s="15" t="s">
        <v>36</v>
      </c>
      <c r="D4" s="16">
        <v>6</v>
      </c>
      <c r="E4" s="16">
        <v>6.5</v>
      </c>
      <c r="F4" s="17">
        <f t="shared" ref="F4:F49" si="0">IF(D4=0,0,(E4-D4)/D4)</f>
        <v>8.3333333333333329E-2</v>
      </c>
      <c r="G4" s="18" t="s">
        <v>37</v>
      </c>
    </row>
    <row r="5" spans="1:7">
      <c r="A5" s="19" t="s">
        <v>38</v>
      </c>
      <c r="B5" s="20" t="s">
        <v>39</v>
      </c>
      <c r="C5" s="21" t="s">
        <v>36</v>
      </c>
      <c r="D5" s="22">
        <v>5</v>
      </c>
      <c r="E5" s="22">
        <v>5.5</v>
      </c>
      <c r="F5" s="23">
        <f t="shared" si="0"/>
        <v>0.1</v>
      </c>
      <c r="G5" s="24" t="s">
        <v>40</v>
      </c>
    </row>
    <row r="6" spans="1:7">
      <c r="A6" s="14" t="s">
        <v>41</v>
      </c>
      <c r="B6" s="2" t="s">
        <v>35</v>
      </c>
      <c r="C6" s="15" t="s">
        <v>36</v>
      </c>
      <c r="D6" s="16">
        <v>8</v>
      </c>
      <c r="E6" s="16">
        <v>8.5</v>
      </c>
      <c r="F6" s="17">
        <f t="shared" si="0"/>
        <v>6.25E-2</v>
      </c>
      <c r="G6" s="18" t="s">
        <v>42</v>
      </c>
    </row>
    <row r="7" spans="1:7">
      <c r="A7" s="19" t="s">
        <v>43</v>
      </c>
      <c r="B7" s="20" t="s">
        <v>35</v>
      </c>
      <c r="C7" s="21" t="s">
        <v>44</v>
      </c>
      <c r="D7" s="22">
        <v>3</v>
      </c>
      <c r="E7" s="22">
        <v>3.5</v>
      </c>
      <c r="F7" s="23">
        <f t="shared" si="0"/>
        <v>0.16666666666666666</v>
      </c>
      <c r="G7" s="24" t="s">
        <v>45</v>
      </c>
    </row>
    <row r="8" spans="1:7">
      <c r="A8" s="14" t="s">
        <v>46</v>
      </c>
      <c r="B8" s="2" t="s">
        <v>39</v>
      </c>
      <c r="C8" s="15" t="s">
        <v>36</v>
      </c>
      <c r="D8" s="16">
        <v>5</v>
      </c>
      <c r="E8" s="16">
        <v>4.5</v>
      </c>
      <c r="F8" s="17">
        <f t="shared" si="0"/>
        <v>-0.1</v>
      </c>
      <c r="G8" s="18" t="s">
        <v>47</v>
      </c>
    </row>
    <row r="9" spans="1:7">
      <c r="A9" s="19" t="s">
        <v>48</v>
      </c>
      <c r="B9" s="20" t="s">
        <v>49</v>
      </c>
      <c r="C9" s="21" t="s">
        <v>36</v>
      </c>
      <c r="D9" s="22">
        <v>8</v>
      </c>
      <c r="E9" s="22">
        <v>9.5</v>
      </c>
      <c r="F9" s="23">
        <f t="shared" si="0"/>
        <v>0.1875</v>
      </c>
      <c r="G9" s="24" t="s">
        <v>50</v>
      </c>
    </row>
    <row r="10" spans="1:7">
      <c r="A10" s="14" t="s">
        <v>51</v>
      </c>
      <c r="B10" s="2" t="s">
        <v>52</v>
      </c>
      <c r="C10" s="15" t="s">
        <v>36</v>
      </c>
      <c r="D10" s="16">
        <v>6</v>
      </c>
      <c r="E10" s="16">
        <v>6</v>
      </c>
      <c r="F10" s="17">
        <f t="shared" si="0"/>
        <v>0</v>
      </c>
      <c r="G10" s="18" t="s">
        <v>53</v>
      </c>
    </row>
    <row r="11" spans="1:7">
      <c r="A11" s="19" t="s">
        <v>54</v>
      </c>
      <c r="B11" s="20" t="s">
        <v>35</v>
      </c>
      <c r="C11" s="21" t="s">
        <v>36</v>
      </c>
      <c r="D11" s="22">
        <v>4</v>
      </c>
      <c r="E11" s="22">
        <v>4.5</v>
      </c>
      <c r="F11" s="23">
        <f t="shared" si="0"/>
        <v>0.125</v>
      </c>
      <c r="G11" s="24" t="s">
        <v>55</v>
      </c>
    </row>
    <row r="12" spans="1:7">
      <c r="A12" s="14" t="s">
        <v>56</v>
      </c>
      <c r="B12" s="2" t="s">
        <v>35</v>
      </c>
      <c r="C12" s="15" t="s">
        <v>36</v>
      </c>
      <c r="D12" s="16">
        <v>5</v>
      </c>
      <c r="E12" s="16">
        <v>5</v>
      </c>
      <c r="F12" s="17">
        <f t="shared" si="0"/>
        <v>0</v>
      </c>
      <c r="G12" s="18" t="s">
        <v>53</v>
      </c>
    </row>
    <row r="13" spans="1:7">
      <c r="A13" s="19" t="s">
        <v>57</v>
      </c>
      <c r="B13" s="20" t="s">
        <v>35</v>
      </c>
      <c r="C13" s="21" t="s">
        <v>58</v>
      </c>
      <c r="D13" s="22">
        <v>10</v>
      </c>
      <c r="E13" s="22">
        <v>11.5</v>
      </c>
      <c r="F13" s="23">
        <f t="shared" si="0"/>
        <v>0.15</v>
      </c>
      <c r="G13" s="24" t="s">
        <v>59</v>
      </c>
    </row>
    <row r="14" spans="1:7">
      <c r="A14" s="14" t="s">
        <v>60</v>
      </c>
      <c r="B14" s="2" t="s">
        <v>35</v>
      </c>
      <c r="C14" s="15" t="s">
        <v>58</v>
      </c>
      <c r="D14" s="16">
        <v>8</v>
      </c>
      <c r="E14" s="16">
        <v>9</v>
      </c>
      <c r="F14" s="17">
        <f t="shared" si="0"/>
        <v>0.125</v>
      </c>
      <c r="G14" s="18" t="s">
        <v>61</v>
      </c>
    </row>
    <row r="15" spans="1:7">
      <c r="A15" s="19" t="s">
        <v>62</v>
      </c>
      <c r="B15" s="20" t="s">
        <v>35</v>
      </c>
      <c r="C15" s="21" t="s">
        <v>44</v>
      </c>
      <c r="D15" s="22">
        <v>4</v>
      </c>
      <c r="E15" s="22">
        <v>4</v>
      </c>
      <c r="F15" s="23">
        <f t="shared" si="0"/>
        <v>0</v>
      </c>
      <c r="G15" s="24" t="s">
        <v>53</v>
      </c>
    </row>
    <row r="16" spans="1:7">
      <c r="A16" s="14" t="s">
        <v>63</v>
      </c>
      <c r="B16" s="2" t="s">
        <v>35</v>
      </c>
      <c r="C16" s="15" t="s">
        <v>36</v>
      </c>
      <c r="D16" s="16">
        <v>4</v>
      </c>
      <c r="E16" s="16">
        <v>3.5</v>
      </c>
      <c r="F16" s="17">
        <f t="shared" si="0"/>
        <v>-0.125</v>
      </c>
      <c r="G16" s="18" t="s">
        <v>64</v>
      </c>
    </row>
    <row r="17" spans="1:7">
      <c r="A17" s="19" t="s">
        <v>65</v>
      </c>
      <c r="B17" s="20" t="s">
        <v>52</v>
      </c>
      <c r="C17" s="21" t="s">
        <v>36</v>
      </c>
      <c r="D17" s="22">
        <v>6</v>
      </c>
      <c r="E17" s="22">
        <v>6.5</v>
      </c>
      <c r="F17" s="23">
        <f t="shared" si="0"/>
        <v>8.3333333333333329E-2</v>
      </c>
      <c r="G17" s="24" t="s">
        <v>66</v>
      </c>
    </row>
    <row r="18" spans="1:7">
      <c r="A18" s="14" t="s">
        <v>67</v>
      </c>
      <c r="B18" s="2" t="s">
        <v>49</v>
      </c>
      <c r="C18" s="15" t="s">
        <v>58</v>
      </c>
      <c r="D18" s="16">
        <v>9</v>
      </c>
      <c r="E18" s="16">
        <v>10</v>
      </c>
      <c r="F18" s="17">
        <f t="shared" si="0"/>
        <v>0.1111111111111111</v>
      </c>
      <c r="G18" s="18" t="s">
        <v>68</v>
      </c>
    </row>
    <row r="19" spans="1:7">
      <c r="A19" s="19" t="s">
        <v>69</v>
      </c>
      <c r="B19" s="20" t="s">
        <v>35</v>
      </c>
      <c r="C19" s="21" t="s">
        <v>58</v>
      </c>
      <c r="D19" s="22">
        <v>10</v>
      </c>
      <c r="E19" s="22">
        <v>10.5</v>
      </c>
      <c r="F19" s="23">
        <f t="shared" si="0"/>
        <v>0.05</v>
      </c>
      <c r="G19" s="24" t="s">
        <v>70</v>
      </c>
    </row>
    <row r="20" spans="1:7">
      <c r="A20" s="14" t="s">
        <v>71</v>
      </c>
      <c r="B20" s="2" t="s">
        <v>35</v>
      </c>
      <c r="C20" s="15" t="s">
        <v>36</v>
      </c>
      <c r="D20" s="16">
        <v>6</v>
      </c>
      <c r="E20" s="16">
        <v>6</v>
      </c>
      <c r="F20" s="17">
        <f t="shared" si="0"/>
        <v>0</v>
      </c>
      <c r="G20" s="18" t="s">
        <v>53</v>
      </c>
    </row>
    <row r="21" spans="1:7">
      <c r="A21" s="19" t="s">
        <v>72</v>
      </c>
      <c r="B21" s="20" t="s">
        <v>35</v>
      </c>
      <c r="C21" s="21" t="s">
        <v>58</v>
      </c>
      <c r="D21" s="22">
        <v>9</v>
      </c>
      <c r="E21" s="22">
        <v>10</v>
      </c>
      <c r="F21" s="23">
        <f t="shared" si="0"/>
        <v>0.1111111111111111</v>
      </c>
      <c r="G21" s="24" t="s">
        <v>73</v>
      </c>
    </row>
    <row r="22" spans="1:7">
      <c r="A22" s="14" t="s">
        <v>74</v>
      </c>
      <c r="B22" s="2" t="s">
        <v>35</v>
      </c>
      <c r="C22" s="15" t="s">
        <v>36</v>
      </c>
      <c r="D22" s="16">
        <v>7</v>
      </c>
      <c r="E22" s="16">
        <v>7</v>
      </c>
      <c r="F22" s="17">
        <f t="shared" si="0"/>
        <v>0</v>
      </c>
      <c r="G22" s="18" t="s">
        <v>53</v>
      </c>
    </row>
    <row r="23" spans="1:7">
      <c r="A23" s="19" t="s">
        <v>75</v>
      </c>
      <c r="B23" s="20" t="s">
        <v>35</v>
      </c>
      <c r="C23" s="21" t="s">
        <v>58</v>
      </c>
      <c r="D23" s="22">
        <v>9</v>
      </c>
      <c r="E23" s="22">
        <v>9.5</v>
      </c>
      <c r="F23" s="23">
        <f t="shared" si="0"/>
        <v>5.5555555555555552E-2</v>
      </c>
      <c r="G23" s="24" t="s">
        <v>76</v>
      </c>
    </row>
    <row r="24" spans="1:7">
      <c r="A24" s="14" t="s">
        <v>77</v>
      </c>
      <c r="B24" s="2" t="s">
        <v>35</v>
      </c>
      <c r="C24" s="15" t="s">
        <v>36</v>
      </c>
      <c r="D24" s="16">
        <v>5</v>
      </c>
      <c r="E24" s="16">
        <v>5</v>
      </c>
      <c r="F24" s="17">
        <f t="shared" si="0"/>
        <v>0</v>
      </c>
      <c r="G24" s="18" t="s">
        <v>53</v>
      </c>
    </row>
    <row r="25" spans="1:7">
      <c r="A25" s="19" t="s">
        <v>78</v>
      </c>
      <c r="B25" s="20" t="s">
        <v>35</v>
      </c>
      <c r="C25" s="21" t="s">
        <v>36</v>
      </c>
      <c r="D25" s="22">
        <v>6</v>
      </c>
      <c r="E25" s="22">
        <v>7</v>
      </c>
      <c r="F25" s="23">
        <f t="shared" si="0"/>
        <v>0.16666666666666666</v>
      </c>
      <c r="G25" s="24" t="s">
        <v>79</v>
      </c>
    </row>
    <row r="26" spans="1:7">
      <c r="A26" s="14" t="s">
        <v>80</v>
      </c>
      <c r="B26" s="2" t="s">
        <v>81</v>
      </c>
      <c r="C26" s="15" t="s">
        <v>58</v>
      </c>
      <c r="D26" s="16">
        <v>10</v>
      </c>
      <c r="E26" s="16">
        <v>11</v>
      </c>
      <c r="F26" s="17">
        <f t="shared" si="0"/>
        <v>0.1</v>
      </c>
      <c r="G26" s="18" t="s">
        <v>82</v>
      </c>
    </row>
    <row r="27" spans="1:7">
      <c r="A27" s="19" t="s">
        <v>83</v>
      </c>
      <c r="B27" s="20" t="s">
        <v>39</v>
      </c>
      <c r="C27" s="21" t="s">
        <v>36</v>
      </c>
      <c r="D27" s="22">
        <v>5</v>
      </c>
      <c r="E27" s="22">
        <v>5</v>
      </c>
      <c r="F27" s="23">
        <f t="shared" si="0"/>
        <v>0</v>
      </c>
      <c r="G27" s="24" t="s">
        <v>53</v>
      </c>
    </row>
    <row r="28" spans="1:7">
      <c r="A28" s="14" t="s">
        <v>84</v>
      </c>
      <c r="B28" s="2" t="s">
        <v>85</v>
      </c>
      <c r="C28" s="15" t="s">
        <v>36</v>
      </c>
      <c r="D28" s="16">
        <v>6</v>
      </c>
      <c r="E28" s="16">
        <v>6.5</v>
      </c>
      <c r="F28" s="17">
        <f t="shared" si="0"/>
        <v>8.3333333333333329E-2</v>
      </c>
      <c r="G28" s="18" t="s">
        <v>86</v>
      </c>
    </row>
    <row r="29" spans="1:7">
      <c r="A29" s="19" t="s">
        <v>87</v>
      </c>
      <c r="B29" s="20" t="s">
        <v>88</v>
      </c>
      <c r="C29" s="21" t="s">
        <v>58</v>
      </c>
      <c r="D29" s="22">
        <v>12</v>
      </c>
      <c r="E29" s="22">
        <v>15</v>
      </c>
      <c r="F29" s="23">
        <f t="shared" si="0"/>
        <v>0.25</v>
      </c>
      <c r="G29" s="24" t="s">
        <v>89</v>
      </c>
    </row>
    <row r="30" spans="1:7">
      <c r="A30" s="14" t="s">
        <v>90</v>
      </c>
      <c r="B30" s="2" t="s">
        <v>88</v>
      </c>
      <c r="C30" s="15" t="s">
        <v>36</v>
      </c>
      <c r="D30" s="16">
        <v>8</v>
      </c>
      <c r="E30" s="16">
        <v>9.5</v>
      </c>
      <c r="F30" s="17">
        <f t="shared" si="0"/>
        <v>0.1875</v>
      </c>
      <c r="G30" s="18" t="s">
        <v>91</v>
      </c>
    </row>
    <row r="31" spans="1:7">
      <c r="A31" s="19" t="s">
        <v>92</v>
      </c>
      <c r="B31" s="20" t="s">
        <v>88</v>
      </c>
      <c r="C31" s="21" t="s">
        <v>36</v>
      </c>
      <c r="D31" s="22">
        <v>8</v>
      </c>
      <c r="E31" s="22">
        <v>9</v>
      </c>
      <c r="F31" s="23">
        <f t="shared" si="0"/>
        <v>0.125</v>
      </c>
      <c r="G31" s="24" t="s">
        <v>93</v>
      </c>
    </row>
    <row r="32" spans="1:7">
      <c r="A32" s="14" t="s">
        <v>94</v>
      </c>
      <c r="B32" s="2" t="s">
        <v>88</v>
      </c>
      <c r="C32" s="15" t="s">
        <v>36</v>
      </c>
      <c r="D32" s="16">
        <v>8</v>
      </c>
      <c r="E32" s="16">
        <v>10.5</v>
      </c>
      <c r="F32" s="17">
        <f t="shared" si="0"/>
        <v>0.3125</v>
      </c>
      <c r="G32" s="18" t="s">
        <v>95</v>
      </c>
    </row>
    <row r="33" spans="1:7">
      <c r="A33" s="19" t="s">
        <v>96</v>
      </c>
      <c r="B33" s="20" t="s">
        <v>88</v>
      </c>
      <c r="C33" s="21" t="s">
        <v>58</v>
      </c>
      <c r="D33" s="22">
        <v>10</v>
      </c>
      <c r="E33" s="22">
        <v>12.5</v>
      </c>
      <c r="F33" s="23">
        <f t="shared" si="0"/>
        <v>0.25</v>
      </c>
      <c r="G33" s="24" t="s">
        <v>97</v>
      </c>
    </row>
    <row r="34" spans="1:7">
      <c r="A34" s="14" t="s">
        <v>98</v>
      </c>
      <c r="B34" s="2" t="s">
        <v>88</v>
      </c>
      <c r="C34" s="15" t="s">
        <v>44</v>
      </c>
      <c r="D34" s="16">
        <v>4</v>
      </c>
      <c r="E34" s="16">
        <v>4.5</v>
      </c>
      <c r="F34" s="17">
        <f t="shared" si="0"/>
        <v>0.125</v>
      </c>
      <c r="G34" s="18" t="s">
        <v>99</v>
      </c>
    </row>
    <row r="35" spans="1:7">
      <c r="A35" s="19" t="s">
        <v>100</v>
      </c>
      <c r="B35" s="20" t="s">
        <v>101</v>
      </c>
      <c r="C35" s="21" t="s">
        <v>58</v>
      </c>
      <c r="D35" s="22">
        <v>25</v>
      </c>
      <c r="E35" s="22">
        <v>31</v>
      </c>
      <c r="F35" s="23">
        <f t="shared" si="0"/>
        <v>0.24</v>
      </c>
      <c r="G35" s="24" t="s">
        <v>102</v>
      </c>
    </row>
    <row r="36" spans="1:7">
      <c r="A36" s="14" t="s">
        <v>103</v>
      </c>
      <c r="B36" s="2" t="s">
        <v>101</v>
      </c>
      <c r="C36" s="15" t="s">
        <v>58</v>
      </c>
      <c r="D36" s="16">
        <v>20</v>
      </c>
      <c r="E36" s="16">
        <v>26</v>
      </c>
      <c r="F36" s="17">
        <f t="shared" si="0"/>
        <v>0.3</v>
      </c>
      <c r="G36" s="18" t="s">
        <v>104</v>
      </c>
    </row>
    <row r="37" spans="1:7">
      <c r="A37" s="19" t="s">
        <v>105</v>
      </c>
      <c r="B37" s="20" t="s">
        <v>101</v>
      </c>
      <c r="C37" s="21" t="s">
        <v>36</v>
      </c>
      <c r="D37" s="22">
        <v>12</v>
      </c>
      <c r="E37" s="22">
        <v>14</v>
      </c>
      <c r="F37" s="23">
        <f t="shared" si="0"/>
        <v>0.16666666666666666</v>
      </c>
      <c r="G37" s="24" t="s">
        <v>106</v>
      </c>
    </row>
    <row r="38" spans="1:7">
      <c r="A38" s="14" t="s">
        <v>107</v>
      </c>
      <c r="B38" s="2" t="s">
        <v>101</v>
      </c>
      <c r="C38" s="15" t="s">
        <v>44</v>
      </c>
      <c r="D38" s="16">
        <v>6</v>
      </c>
      <c r="E38" s="16">
        <v>7</v>
      </c>
      <c r="F38" s="17">
        <f t="shared" si="0"/>
        <v>0.16666666666666666</v>
      </c>
      <c r="G38" s="18" t="s">
        <v>108</v>
      </c>
    </row>
    <row r="39" spans="1:7">
      <c r="A39" s="19" t="s">
        <v>109</v>
      </c>
      <c r="B39" s="20" t="s">
        <v>101</v>
      </c>
      <c r="C39" s="21" t="s">
        <v>36</v>
      </c>
      <c r="D39" s="22">
        <v>12</v>
      </c>
      <c r="E39" s="22">
        <v>16.5</v>
      </c>
      <c r="F39" s="23">
        <f t="shared" si="0"/>
        <v>0.375</v>
      </c>
      <c r="G39" s="24" t="s">
        <v>110</v>
      </c>
    </row>
    <row r="40" spans="1:7">
      <c r="A40" s="14" t="s">
        <v>111</v>
      </c>
      <c r="B40" s="2" t="s">
        <v>101</v>
      </c>
      <c r="C40" s="15" t="s">
        <v>58</v>
      </c>
      <c r="D40" s="16">
        <v>25</v>
      </c>
      <c r="E40" s="16">
        <v>32.5</v>
      </c>
      <c r="F40" s="17">
        <f t="shared" si="0"/>
        <v>0.3</v>
      </c>
      <c r="G40" s="18" t="s">
        <v>112</v>
      </c>
    </row>
    <row r="41" spans="1:7">
      <c r="A41" s="19" t="s">
        <v>113</v>
      </c>
      <c r="B41" s="20" t="s">
        <v>114</v>
      </c>
      <c r="C41" s="21" t="s">
        <v>58</v>
      </c>
      <c r="D41" s="22">
        <v>10</v>
      </c>
      <c r="E41" s="22">
        <v>15</v>
      </c>
      <c r="F41" s="23">
        <f t="shared" si="0"/>
        <v>0.5</v>
      </c>
      <c r="G41" s="24" t="s">
        <v>115</v>
      </c>
    </row>
    <row r="42" spans="1:7">
      <c r="A42" s="14" t="s">
        <v>116</v>
      </c>
      <c r="B42" s="2" t="s">
        <v>114</v>
      </c>
      <c r="C42" s="15" t="s">
        <v>36</v>
      </c>
      <c r="D42" s="16">
        <v>6</v>
      </c>
      <c r="E42" s="16">
        <v>9</v>
      </c>
      <c r="F42" s="17">
        <f t="shared" si="0"/>
        <v>0.5</v>
      </c>
      <c r="G42" s="18" t="s">
        <v>117</v>
      </c>
    </row>
    <row r="43" spans="1:7">
      <c r="A43" s="19" t="s">
        <v>118</v>
      </c>
      <c r="B43" s="20" t="s">
        <v>114</v>
      </c>
      <c r="C43" s="21" t="s">
        <v>36</v>
      </c>
      <c r="D43" s="22">
        <v>6</v>
      </c>
      <c r="E43" s="22">
        <v>8</v>
      </c>
      <c r="F43" s="23">
        <f t="shared" si="0"/>
        <v>0.33333333333333331</v>
      </c>
      <c r="G43" s="24" t="s">
        <v>119</v>
      </c>
    </row>
    <row r="44" spans="1:7">
      <c r="A44" s="14" t="s">
        <v>120</v>
      </c>
      <c r="B44" s="2" t="s">
        <v>114</v>
      </c>
      <c r="C44" s="15" t="s">
        <v>36</v>
      </c>
      <c r="D44" s="16">
        <v>6</v>
      </c>
      <c r="E44" s="16">
        <v>8</v>
      </c>
      <c r="F44" s="17">
        <f t="shared" si="0"/>
        <v>0.33333333333333331</v>
      </c>
      <c r="G44" s="18" t="s">
        <v>121</v>
      </c>
    </row>
    <row r="45" spans="1:7">
      <c r="A45" s="19" t="s">
        <v>122</v>
      </c>
      <c r="B45" s="20" t="s">
        <v>114</v>
      </c>
      <c r="C45" s="21" t="s">
        <v>36</v>
      </c>
      <c r="D45" s="22">
        <v>6</v>
      </c>
      <c r="E45" s="22">
        <v>8.5</v>
      </c>
      <c r="F45" s="23">
        <f t="shared" si="0"/>
        <v>0.41666666666666669</v>
      </c>
      <c r="G45" s="24" t="s">
        <v>123</v>
      </c>
    </row>
    <row r="46" spans="1:7">
      <c r="A46" s="14" t="s">
        <v>124</v>
      </c>
      <c r="B46" s="2" t="s">
        <v>114</v>
      </c>
      <c r="C46" s="15" t="s">
        <v>44</v>
      </c>
      <c r="D46" s="16">
        <v>3</v>
      </c>
      <c r="E46" s="16">
        <v>4</v>
      </c>
      <c r="F46" s="17">
        <f t="shared" si="0"/>
        <v>0.33333333333333331</v>
      </c>
      <c r="G46" s="18" t="s">
        <v>125</v>
      </c>
    </row>
    <row r="47" spans="1:7">
      <c r="A47" s="19" t="s">
        <v>126</v>
      </c>
      <c r="B47" s="20" t="s">
        <v>114</v>
      </c>
      <c r="C47" s="21" t="s">
        <v>36</v>
      </c>
      <c r="D47" s="22">
        <v>6</v>
      </c>
      <c r="E47" s="22">
        <v>7.5</v>
      </c>
      <c r="F47" s="23">
        <f t="shared" si="0"/>
        <v>0.25</v>
      </c>
      <c r="G47" s="24" t="s">
        <v>127</v>
      </c>
    </row>
    <row r="48" spans="1:7">
      <c r="A48" s="14" t="s">
        <v>128</v>
      </c>
      <c r="B48" s="2" t="s">
        <v>114</v>
      </c>
      <c r="C48" s="15" t="s">
        <v>44</v>
      </c>
      <c r="D48" s="16">
        <v>7</v>
      </c>
      <c r="E48" s="16">
        <v>9</v>
      </c>
      <c r="F48" s="17">
        <f t="shared" si="0"/>
        <v>0.2857142857142857</v>
      </c>
      <c r="G48" s="18" t="s">
        <v>129</v>
      </c>
    </row>
    <row r="49" spans="1:7">
      <c r="A49" s="25" t="s">
        <v>130</v>
      </c>
      <c r="B49" s="26"/>
      <c r="C49" s="26"/>
      <c r="D49" s="27">
        <f>SUM(D4:D48)</f>
        <v>364</v>
      </c>
      <c r="E49" s="27">
        <f>SUM(E4:E48)</f>
        <v>432.5</v>
      </c>
      <c r="F49" s="28">
        <f t="shared" si="0"/>
        <v>0.18818681318681318</v>
      </c>
      <c r="G49" s="29" t="str">
        <f>COUNT(D4:D48)&amp;" work packages"</f>
        <v>45 work packages</v>
      </c>
    </row>
  </sheetData>
  <mergeCells count="2">
    <mergeCell ref="A1:G1"/>
    <mergeCell ref="A2:G2"/>
  </mergeCells>
  <conditionalFormatting sqref="F4:F48">
    <cfRule type="cellIs" dxfId="1" priority="1" operator="greaterThan">
      <formula>0.2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D7B66-AF6B-4E89-9CD6-2CF693CB8FD5}">
  <dimension ref="A1:F2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42.7109375" customWidth="1"/>
    <col min="2" max="3" width="15.7109375" customWidth="1"/>
    <col min="4" max="4" width="13.7109375" customWidth="1"/>
    <col min="5" max="5" width="16.7109375" customWidth="1"/>
    <col min="6" max="6" width="13.7109375" customWidth="1"/>
  </cols>
  <sheetData>
    <row r="1" spans="1:6" ht="18.75">
      <c r="A1" s="45" t="s">
        <v>131</v>
      </c>
      <c r="B1" s="45"/>
      <c r="C1" s="45"/>
      <c r="D1" s="45"/>
      <c r="E1" s="45"/>
      <c r="F1" s="45"/>
    </row>
    <row r="2" spans="1:6">
      <c r="A2" s="44" t="s">
        <v>132</v>
      </c>
      <c r="B2" s="44"/>
      <c r="C2" s="44"/>
      <c r="D2" s="44"/>
      <c r="E2" s="44"/>
      <c r="F2" s="44"/>
    </row>
    <row r="3" spans="1:6" ht="30">
      <c r="A3" s="12" t="s">
        <v>28</v>
      </c>
      <c r="B3" s="11" t="s">
        <v>133</v>
      </c>
      <c r="C3" s="11" t="s">
        <v>30</v>
      </c>
      <c r="D3" s="11" t="s">
        <v>31</v>
      </c>
      <c r="E3" s="11" t="s">
        <v>134</v>
      </c>
      <c r="F3" s="13" t="s">
        <v>32</v>
      </c>
    </row>
    <row r="4" spans="1:6">
      <c r="A4" s="14" t="s">
        <v>35</v>
      </c>
      <c r="B4" s="30">
        <f>COUNTIF(Actuals!$B$4:$B$48,A4)</f>
        <v>16</v>
      </c>
      <c r="C4" s="31">
        <f>SUMIF(Actuals!$B$4:$B$48,A4,Actuals!$D$4:$D$48)</f>
        <v>104</v>
      </c>
      <c r="D4" s="31">
        <f>SUMIF(Actuals!$B$4:$B$48,A4,Actuals!$E$4:$E$48)</f>
        <v>111</v>
      </c>
      <c r="E4" s="31">
        <f t="shared" ref="E4:E12" si="0">D4-C4</f>
        <v>7</v>
      </c>
      <c r="F4" s="32">
        <f t="shared" ref="F4:F13" si="1">IF(C4=0,0,E4/C4)</f>
        <v>6.7307692307692304E-2</v>
      </c>
    </row>
    <row r="5" spans="1:6">
      <c r="A5" s="19" t="s">
        <v>52</v>
      </c>
      <c r="B5" s="33">
        <f>COUNTIF(Actuals!$B$4:$B$48,A5)</f>
        <v>2</v>
      </c>
      <c r="C5" s="34">
        <f>SUMIF(Actuals!$B$4:$B$48,A5,Actuals!$D$4:$D$48)</f>
        <v>12</v>
      </c>
      <c r="D5" s="34">
        <f>SUMIF(Actuals!$B$4:$B$48,A5,Actuals!$E$4:$E$48)</f>
        <v>12.5</v>
      </c>
      <c r="E5" s="34">
        <f t="shared" si="0"/>
        <v>0.5</v>
      </c>
      <c r="F5" s="35">
        <f t="shared" si="1"/>
        <v>4.1666666666666664E-2</v>
      </c>
    </row>
    <row r="6" spans="1:6">
      <c r="A6" s="14" t="s">
        <v>39</v>
      </c>
      <c r="B6" s="30">
        <f>COUNTIF(Actuals!$B$4:$B$48,A6)</f>
        <v>3</v>
      </c>
      <c r="C6" s="31">
        <f>SUMIF(Actuals!$B$4:$B$48,A6,Actuals!$D$4:$D$48)</f>
        <v>15</v>
      </c>
      <c r="D6" s="31">
        <f>SUMIF(Actuals!$B$4:$B$48,A6,Actuals!$E$4:$E$48)</f>
        <v>15</v>
      </c>
      <c r="E6" s="31">
        <f t="shared" si="0"/>
        <v>0</v>
      </c>
      <c r="F6" s="32">
        <f t="shared" si="1"/>
        <v>0</v>
      </c>
    </row>
    <row r="7" spans="1:6">
      <c r="A7" s="19" t="s">
        <v>49</v>
      </c>
      <c r="B7" s="33">
        <f>COUNTIF(Actuals!$B$4:$B$48,A7)</f>
        <v>2</v>
      </c>
      <c r="C7" s="34">
        <f>SUMIF(Actuals!$B$4:$B$48,A7,Actuals!$D$4:$D$48)</f>
        <v>17</v>
      </c>
      <c r="D7" s="34">
        <f>SUMIF(Actuals!$B$4:$B$48,A7,Actuals!$E$4:$E$48)</f>
        <v>19.5</v>
      </c>
      <c r="E7" s="34">
        <f t="shared" si="0"/>
        <v>2.5</v>
      </c>
      <c r="F7" s="35">
        <f t="shared" si="1"/>
        <v>0.14705882352941177</v>
      </c>
    </row>
    <row r="8" spans="1:6">
      <c r="A8" s="14" t="s">
        <v>81</v>
      </c>
      <c r="B8" s="30">
        <f>COUNTIF(Actuals!$B$4:$B$48,A8)</f>
        <v>1</v>
      </c>
      <c r="C8" s="31">
        <f>SUMIF(Actuals!$B$4:$B$48,A8,Actuals!$D$4:$D$48)</f>
        <v>10</v>
      </c>
      <c r="D8" s="31">
        <f>SUMIF(Actuals!$B$4:$B$48,A8,Actuals!$E$4:$E$48)</f>
        <v>11</v>
      </c>
      <c r="E8" s="31">
        <f t="shared" si="0"/>
        <v>1</v>
      </c>
      <c r="F8" s="32">
        <f t="shared" si="1"/>
        <v>0.1</v>
      </c>
    </row>
    <row r="9" spans="1:6">
      <c r="A9" s="19" t="s">
        <v>85</v>
      </c>
      <c r="B9" s="33">
        <f>COUNTIF(Actuals!$B$4:$B$48,A9)</f>
        <v>1</v>
      </c>
      <c r="C9" s="34">
        <f>SUMIF(Actuals!$B$4:$B$48,A9,Actuals!$D$4:$D$48)</f>
        <v>6</v>
      </c>
      <c r="D9" s="34">
        <f>SUMIF(Actuals!$B$4:$B$48,A9,Actuals!$E$4:$E$48)</f>
        <v>6.5</v>
      </c>
      <c r="E9" s="34">
        <f t="shared" si="0"/>
        <v>0.5</v>
      </c>
      <c r="F9" s="35">
        <f t="shared" si="1"/>
        <v>8.3333333333333329E-2</v>
      </c>
    </row>
    <row r="10" spans="1:6">
      <c r="A10" s="14" t="s">
        <v>88</v>
      </c>
      <c r="B10" s="30">
        <f>COUNTIF(Actuals!$B$4:$B$48,A10)</f>
        <v>6</v>
      </c>
      <c r="C10" s="31">
        <f>SUMIF(Actuals!$B$4:$B$48,A10,Actuals!$D$4:$D$48)</f>
        <v>50</v>
      </c>
      <c r="D10" s="31">
        <f>SUMIF(Actuals!$B$4:$B$48,A10,Actuals!$E$4:$E$48)</f>
        <v>61</v>
      </c>
      <c r="E10" s="31">
        <f t="shared" si="0"/>
        <v>11</v>
      </c>
      <c r="F10" s="32">
        <f t="shared" si="1"/>
        <v>0.22</v>
      </c>
    </row>
    <row r="11" spans="1:6">
      <c r="A11" s="19" t="s">
        <v>101</v>
      </c>
      <c r="B11" s="33">
        <f>COUNTIF(Actuals!$B$4:$B$48,A11)</f>
        <v>6</v>
      </c>
      <c r="C11" s="34">
        <f>SUMIF(Actuals!$B$4:$B$48,A11,Actuals!$D$4:$D$48)</f>
        <v>100</v>
      </c>
      <c r="D11" s="34">
        <f>SUMIF(Actuals!$B$4:$B$48,A11,Actuals!$E$4:$E$48)</f>
        <v>127</v>
      </c>
      <c r="E11" s="34">
        <f t="shared" si="0"/>
        <v>27</v>
      </c>
      <c r="F11" s="35">
        <f t="shared" si="1"/>
        <v>0.27</v>
      </c>
    </row>
    <row r="12" spans="1:6">
      <c r="A12" s="14" t="s">
        <v>114</v>
      </c>
      <c r="B12" s="30">
        <f>COUNTIF(Actuals!$B$4:$B$48,A12)</f>
        <v>8</v>
      </c>
      <c r="C12" s="31">
        <f>SUMIF(Actuals!$B$4:$B$48,A12,Actuals!$D$4:$D$48)</f>
        <v>50</v>
      </c>
      <c r="D12" s="31">
        <f>SUMIF(Actuals!$B$4:$B$48,A12,Actuals!$E$4:$E$48)</f>
        <v>69</v>
      </c>
      <c r="E12" s="31">
        <f t="shared" si="0"/>
        <v>19</v>
      </c>
      <c r="F12" s="32">
        <f t="shared" si="1"/>
        <v>0.38</v>
      </c>
    </row>
    <row r="13" spans="1:6">
      <c r="A13" s="25" t="s">
        <v>130</v>
      </c>
      <c r="B13" s="36">
        <f>SUM(B4:B12)</f>
        <v>45</v>
      </c>
      <c r="C13" s="37">
        <f>SUM(C4:C12)</f>
        <v>364</v>
      </c>
      <c r="D13" s="37">
        <f>SUM(D4:D12)</f>
        <v>432.5</v>
      </c>
      <c r="E13" s="37">
        <f>SUM(E4:E12)</f>
        <v>68.5</v>
      </c>
      <c r="F13" s="38">
        <f t="shared" si="1"/>
        <v>0.18818681318681318</v>
      </c>
    </row>
    <row r="14" spans="1:6">
      <c r="A14" s="39" t="s">
        <v>135</v>
      </c>
      <c r="B14" s="39"/>
      <c r="C14" s="40">
        <f>C13-Actuals!D49</f>
        <v>0</v>
      </c>
      <c r="D14" s="40">
        <f>D13-Actuals!E49</f>
        <v>0</v>
      </c>
      <c r="E14" s="40"/>
      <c r="F14" s="39"/>
    </row>
    <row r="16" spans="1:6">
      <c r="A16" s="46" t="s">
        <v>136</v>
      </c>
      <c r="B16" s="46"/>
      <c r="C16" s="46"/>
      <c r="D16" s="46"/>
      <c r="E16" s="46"/>
      <c r="F16" s="46"/>
    </row>
    <row r="17" spans="1:6" ht="32.25" customHeight="1">
      <c r="A17" s="42" t="s">
        <v>137</v>
      </c>
      <c r="B17" s="42"/>
      <c r="C17" s="42"/>
      <c r="D17" s="42"/>
      <c r="E17" s="42"/>
      <c r="F17" s="42"/>
    </row>
    <row r="18" spans="1:6" ht="32.25" customHeight="1">
      <c r="A18" s="42" t="s">
        <v>138</v>
      </c>
      <c r="B18" s="42"/>
      <c r="C18" s="42"/>
      <c r="D18" s="42"/>
      <c r="E18" s="42"/>
      <c r="F18" s="42"/>
    </row>
    <row r="19" spans="1:6" ht="32.25" customHeight="1">
      <c r="A19" s="42" t="s">
        <v>139</v>
      </c>
      <c r="B19" s="42"/>
      <c r="C19" s="42"/>
      <c r="D19" s="42"/>
      <c r="E19" s="42"/>
      <c r="F19" s="42"/>
    </row>
    <row r="20" spans="1:6" ht="32.25" customHeight="1">
      <c r="A20" s="42" t="s">
        <v>140</v>
      </c>
      <c r="B20" s="42"/>
      <c r="C20" s="42"/>
      <c r="D20" s="42"/>
      <c r="E20" s="42"/>
      <c r="F20" s="42"/>
    </row>
  </sheetData>
  <mergeCells count="7">
    <mergeCell ref="A20:F20"/>
    <mergeCell ref="A1:F1"/>
    <mergeCell ref="A2:F2"/>
    <mergeCell ref="A16:F16"/>
    <mergeCell ref="A17:F17"/>
    <mergeCell ref="A18:F18"/>
    <mergeCell ref="A19:F19"/>
  </mergeCells>
  <conditionalFormatting sqref="F4:F12">
    <cfRule type="cellIs" dxfId="0" priority="1" operator="greaterThan">
      <formula>0.2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i:0#.f|membership|loretteroos@microsoft.com</cp:lastModifiedBy>
  <cp:revision/>
  <dcterms:created xsi:type="dcterms:W3CDTF">2026-10-19T04:53:13Z</dcterms:created>
  <dcterms:modified xsi:type="dcterms:W3CDTF">2026-10-21T09:30:47Z</dcterms:modified>
  <cp:category/>
  <cp:contentStatus/>
</cp:coreProperties>
</file>