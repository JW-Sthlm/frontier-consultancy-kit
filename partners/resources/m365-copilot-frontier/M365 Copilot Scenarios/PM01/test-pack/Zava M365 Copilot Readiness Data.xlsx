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loretteroos_microsoft_com/Documents/Documents/Cowork/Tasks/create-copilot-presentation-deck-for-2026-10-05/output/Frontier Test Pack/"/>
    </mc:Choice>
  </mc:AlternateContent>
  <xr:revisionPtr revIDLastSave="65" documentId="13_ncr:101_{43F53251-FDA4-4016-8987-6A72A5613F4E}" xr6:coauthVersionLast="47" xr6:coauthVersionMax="47" xr10:uidLastSave="{31C9FD21-F27F-4C92-A309-D7333379E1AA}"/>
  <bookViews>
    <workbookView xWindow="-23150" yWindow="-110" windowWidth="23260" windowHeight="14860" xr2:uid="{00000000-000D-0000-FFFF-FFFF00000000}"/>
  </bookViews>
  <sheets>
    <sheet name="Read me" sheetId="1" r:id="rId1"/>
    <sheet name="Summary" sheetId="7" r:id="rId2"/>
    <sheet name="Licences" sheetId="2" r:id="rId3"/>
    <sheet name="Usage" sheetId="3" r:id="rId4"/>
    <sheet name="SharePoint oversharing" sheetId="4" r:id="rId5"/>
    <sheet name="Pilot survey" sheetId="5" r:id="rId6"/>
    <sheet name="Training completion" sheetId="6" r:id="rId7"/>
  </sheets>
  <definedNames>
    <definedName name="AsOfDate">'Read me'!$B$7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7" l="1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G7" i="6"/>
  <c r="F7" i="6"/>
  <c r="E7" i="6"/>
  <c r="D7" i="6"/>
  <c r="C7" i="6"/>
  <c r="B7" i="6"/>
  <c r="H6" i="6"/>
  <c r="G6" i="6"/>
  <c r="H5" i="6"/>
  <c r="G5" i="6"/>
  <c r="H4" i="6"/>
  <c r="G4" i="6"/>
  <c r="H3" i="6"/>
  <c r="H7" i="6" s="1"/>
  <c r="G3" i="6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10" i="3"/>
  <c r="J9" i="3"/>
  <c r="J8" i="3"/>
  <c r="J7" i="3"/>
  <c r="J6" i="3"/>
  <c r="J5" i="3"/>
  <c r="J4" i="3"/>
  <c r="J3" i="3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G4" i="2"/>
  <c r="D4" i="2"/>
  <c r="G3" i="2"/>
  <c r="D3" i="2"/>
</calcChain>
</file>

<file path=xl/sharedStrings.xml><?xml version="1.0" encoding="utf-8"?>
<sst xmlns="http://schemas.openxmlformats.org/spreadsheetml/2006/main" count="1123" uniqueCount="403">
  <si>
    <t>Zava M365 Copilot Readiness Data</t>
  </si>
  <si>
    <t>Fictitious test data – Copilot for Frontier Consultancy scenario testing</t>
  </si>
  <si>
    <t>Purpose</t>
  </si>
  <si>
    <t>Microsoft 365 Copilot readiness and pilot data for Zava LLC (600 licences, 120 pilot users), supporting the Change &amp; Copilot Adoption workstream of the Zava Horizon programme. Use for testing adoption reporting, oversharing risk analysis, survey insight extraction and training follow-up scenarios.</t>
  </si>
  <si>
    <t>Programme</t>
  </si>
  <si>
    <t>Zava Horizon (ZAV-HZN) – Zava LLC, delivered by Frontier Consulting</t>
  </si>
  <si>
    <t>Data as of</t>
  </si>
  <si>
    <t>Monday 19 Oct 2026 (Dubai, UTC+4)</t>
  </si>
  <si>
    <t>As-of date (used in formulas)</t>
  </si>
  <si>
    <t>Currency</t>
  </si>
  <si>
    <t>AED</t>
  </si>
  <si>
    <t>Prepared by</t>
  </si>
  <si>
    <t>Priya Nair, Project Manager (Frontier Consulting) – scenario owner Lorette Roos</t>
  </si>
  <si>
    <t>Sheet</t>
  </si>
  <si>
    <t>Contents</t>
  </si>
  <si>
    <t>Summary</t>
  </si>
  <si>
    <t>Headline KPIs calculated from the other sheets.</t>
  </si>
  <si>
    <t>Licences</t>
  </si>
  <si>
    <t>600 Copilot licences assigned by department, with pilot and active users.</t>
  </si>
  <si>
    <t>Usage</t>
  </si>
  <si>
    <t>Weekly active pilot users (of 120) by app over 8 weeks: Teams, Outlook, Word, Excel, PowerPoint, Copilot Cowork.</t>
  </si>
  <si>
    <t>SharePoint oversharing</t>
  </si>
  <si>
    <t>Readiness scan of 60 SharePoint sites: owner, sensitivity label, sharing scope, 'Everyone except external users' (EEEU) and file count. 37 sites flagged.</t>
  </si>
  <si>
    <t>Pilot survey</t>
  </si>
  <si>
    <t>120 pilot survey responses: satisfaction (1–5), minutes saved per week, top use case and free-text comment.</t>
  </si>
  <si>
    <t>Training completion</t>
  </si>
  <si>
    <t>Training completion by persona against a 90% target.</t>
  </si>
  <si>
    <t>Personas</t>
  </si>
  <si>
    <t>Finance analyst, Customer service agent, Operations supervisor (plus Manager / knowledge worker).</t>
  </si>
  <si>
    <t>Flag rule</t>
  </si>
  <si>
    <t>A site is flagged when it is shared with 'Everyone except external users'. No site has a sensitivity label applied.</t>
  </si>
  <si>
    <t>Important</t>
  </si>
  <si>
    <t>Fictitious test data – Copilot for Frontier Consultancy scenario testing. All companies, people and figures are fictitious and must not be used for real decisions.</t>
  </si>
  <si>
    <t>Zava M365 Copilot readiness – headline KPIs   |   Fictitious test data – Copilot for Frontier Consultancy scenario testing</t>
  </si>
  <si>
    <t>Measure</t>
  </si>
  <si>
    <t>Value</t>
  </si>
  <si>
    <t>Copilot licences assigned</t>
  </si>
  <si>
    <t>Pilot users</t>
  </si>
  <si>
    <t>Active users, last 28 days (all licensed)</t>
  </si>
  <si>
    <t>Active rate (licensed users)</t>
  </si>
  <si>
    <t>Weekly active pilot users – latest week</t>
  </si>
  <si>
    <t>Weekly active pilot users – first week</t>
  </si>
  <si>
    <t>SharePoint sites scanned</t>
  </si>
  <si>
    <t>Sites flagged (EEEU)</t>
  </si>
  <si>
    <t>Files on flagged sites</t>
  </si>
  <si>
    <t>Sites with a sensitivity label</t>
  </si>
  <si>
    <t>Survey responses</t>
  </si>
  <si>
    <t>Average satisfaction (1–5)</t>
  </si>
  <si>
    <t>Satisfied (4–5) %</t>
  </si>
  <si>
    <t>Average minutes saved per week</t>
  </si>
  <si>
    <t>Training completion (all modules)</t>
  </si>
  <si>
    <t>Zava M365 Copilot licences by department   |   Fictitious test data – Copilot for Frontier Consultancy scenario testing</t>
  </si>
  <si>
    <t>Department</t>
  </si>
  <si>
    <t>Headcount</t>
  </si>
  <si>
    <t>Licences assigned</t>
  </si>
  <si>
    <t>Licence coverage %</t>
  </si>
  <si>
    <t>Active users (last 28 days)</t>
  </si>
  <si>
    <t>Active rate %</t>
  </si>
  <si>
    <t>Finance</t>
  </si>
  <si>
    <t>Customer Service</t>
  </si>
  <si>
    <t>Warehouse Operations</t>
  </si>
  <si>
    <t>Freight Forwarding</t>
  </si>
  <si>
    <t>Sales &amp; Commercial</t>
  </si>
  <si>
    <t>HR</t>
  </si>
  <si>
    <t>IT</t>
  </si>
  <si>
    <t>Procurement</t>
  </si>
  <si>
    <t>Legal &amp; Compliance</t>
  </si>
  <si>
    <t>Executive Office</t>
  </si>
  <si>
    <t>Marketing</t>
  </si>
  <si>
    <t>Fleet &amp; Transport</t>
  </si>
  <si>
    <t>Copilot pilot – weekly active users by app (120 pilot users)   |   Fictitious test data – Copilot for Frontier Consultancy scenario testing</t>
  </si>
  <si>
    <t>Week commencing</t>
  </si>
  <si>
    <t>Teams</t>
  </si>
  <si>
    <t>Outlook</t>
  </si>
  <si>
    <t>Word</t>
  </si>
  <si>
    <t>Excel</t>
  </si>
  <si>
    <t>PowerPoint</t>
  </si>
  <si>
    <t>Copilot Cowork</t>
  </si>
  <si>
    <t>Any Copilot app</t>
  </si>
  <si>
    <t>Weekly active %</t>
  </si>
  <si>
    <t>SharePoint oversharing report – Copilot readiness scan   |   Fictitious test data – Copilot for Frontier Consultancy scenario testing</t>
  </si>
  <si>
    <t>Site</t>
  </si>
  <si>
    <t>Site URL</t>
  </si>
  <si>
    <t>Site owner</t>
  </si>
  <si>
    <t>Sensitivity label</t>
  </si>
  <si>
    <t>Sharing scope</t>
  </si>
  <si>
    <t>Everyone except external users</t>
  </si>
  <si>
    <t>File count</t>
  </si>
  <si>
    <t>Last activity</t>
  </si>
  <si>
    <t>Flagged</t>
  </si>
  <si>
    <t>HR-Payroll</t>
  </si>
  <si>
    <t>https://zava.sharepoint.example/sites/HR-Payroll</t>
  </si>
  <si>
    <t>Elena Petrova</t>
  </si>
  <si>
    <t>None</t>
  </si>
  <si>
    <t>Organisation-wide</t>
  </si>
  <si>
    <t>Yes</t>
  </si>
  <si>
    <t>Finance-Board</t>
  </si>
  <si>
    <t>https://zava.sharepoint.example/sites/Finance-Board</t>
  </si>
  <si>
    <t>Nadia Farouk</t>
  </si>
  <si>
    <t>Executive</t>
  </si>
  <si>
    <t>HR-Recruitment</t>
  </si>
  <si>
    <t>https://zava.sharepoint.example/sites/HR-Recruitment</t>
  </si>
  <si>
    <t>HR-Policies</t>
  </si>
  <si>
    <t>https://zava.sharepoint.example/sites/HR-Policies</t>
  </si>
  <si>
    <t>No</t>
  </si>
  <si>
    <t>HR-EmployeeRelations</t>
  </si>
  <si>
    <t>https://zava.sharepoint.example/sites/HR-EmployeeRelations</t>
  </si>
  <si>
    <t>Members only</t>
  </si>
  <si>
    <t>HR-Performance</t>
  </si>
  <si>
    <t>https://zava.sharepoint.example/sites/HR-Performance</t>
  </si>
  <si>
    <t>Finance-AP</t>
  </si>
  <si>
    <t>https://zava.sharepoint.example/sites/Finance-AP</t>
  </si>
  <si>
    <t>Hassan Ali</t>
  </si>
  <si>
    <t>Finance-AR</t>
  </si>
  <si>
    <t>https://zava.sharepoint.example/sites/Finance-AR</t>
  </si>
  <si>
    <t>Finance-Treasury</t>
  </si>
  <si>
    <t>https://zava.sharepoint.example/sites/Finance-Treasury</t>
  </si>
  <si>
    <t>Finance-Tax-VAT</t>
  </si>
  <si>
    <t>https://zava.sharepoint.example/sites/Finance-Tax-VAT</t>
  </si>
  <si>
    <t>Finance-ZATCA-KSA</t>
  </si>
  <si>
    <t>https://zava.sharepoint.example/sites/Finance-ZATCA-KSA</t>
  </si>
  <si>
    <t>Specific people</t>
  </si>
  <si>
    <t>Finance-MonthEnd</t>
  </si>
  <si>
    <t>https://zava.sharepoint.example/sites/Finance-MonthEnd</t>
  </si>
  <si>
    <t>Finance-Budget2027</t>
  </si>
  <si>
    <t>https://zava.sharepoint.example/sites/Finance-Budget2027</t>
  </si>
  <si>
    <t>Finance-Intercompany</t>
  </si>
  <si>
    <t>https://zava.sharepoint.example/sites/Finance-Intercompany</t>
  </si>
  <si>
    <t>Finance-Audit</t>
  </si>
  <si>
    <t>https://zava.sharepoint.example/sites/Finance-Audit</t>
  </si>
  <si>
    <t>Exec-Strategy</t>
  </si>
  <si>
    <t>https://zava.sharepoint.example/sites/Exec-Strategy</t>
  </si>
  <si>
    <t>Exec-MandA</t>
  </si>
  <si>
    <t>https://zava.sharepoint.example/sites/Exec-MandA</t>
  </si>
  <si>
    <t>Exec-Office</t>
  </si>
  <si>
    <t>https://zava.sharepoint.example/sites/Exec-Office</t>
  </si>
  <si>
    <t>IT-Infrastructure</t>
  </si>
  <si>
    <t>https://zava.sharepoint.example/sites/IT-Infrastructure</t>
  </si>
  <si>
    <t>Ravi Kumar</t>
  </si>
  <si>
    <t>IT-Security</t>
  </si>
  <si>
    <t>https://zava.sharepoint.example/sites/IT-Security</t>
  </si>
  <si>
    <t>IT-ServiceDesk</t>
  </si>
  <si>
    <t>https://zava.sharepoint.example/sites/IT-ServiceDesk</t>
  </si>
  <si>
    <t>IT-Licensing</t>
  </si>
  <si>
    <t>https://zava.sharepoint.example/sites/IT-Licensing</t>
  </si>
  <si>
    <t>IT-Projects</t>
  </si>
  <si>
    <t>https://zava.sharepoint.example/sites/IT-Projects</t>
  </si>
  <si>
    <t>WH-JebelAli-DC</t>
  </si>
  <si>
    <t>https://zava.sharepoint.example/sites/WH-JebelAli-DC</t>
  </si>
  <si>
    <t>Grace Lee</t>
  </si>
  <si>
    <t>Warehouse</t>
  </si>
  <si>
    <t>WH-Inventory</t>
  </si>
  <si>
    <t>https://zava.sharepoint.example/sites/WH-Inventory</t>
  </si>
  <si>
    <t>WH-HealthSafety</t>
  </si>
  <si>
    <t>https://zava.sharepoint.example/sites/WH-HealthSafety</t>
  </si>
  <si>
    <t>WH-Shifts-Rota</t>
  </si>
  <si>
    <t>https://zava.sharepoint.example/sites/WH-Shifts-Rota</t>
  </si>
  <si>
    <t>WH-Devices</t>
  </si>
  <si>
    <t>https://zava.sharepoint.example/sites/WH-Devices</t>
  </si>
  <si>
    <t>CS-Knowledge</t>
  </si>
  <si>
    <t>https://zava.sharepoint.example/sites/CS-Knowledge</t>
  </si>
  <si>
    <t>Samir Haddad</t>
  </si>
  <si>
    <t>CS-Escalations</t>
  </si>
  <si>
    <t>https://zava.sharepoint.example/sites/CS-Escalations</t>
  </si>
  <si>
    <t>CS-Complaints</t>
  </si>
  <si>
    <t>https://zava.sharepoint.example/sites/CS-Complaints</t>
  </si>
  <si>
    <t>CS-QA</t>
  </si>
  <si>
    <t>https://zava.sharepoint.example/sites/CS-QA</t>
  </si>
  <si>
    <t>CS-Contracts</t>
  </si>
  <si>
    <t>https://zava.sharepoint.example/sites/CS-Contracts</t>
  </si>
  <si>
    <t>Sales-Pricing-RateCards</t>
  </si>
  <si>
    <t>https://zava.sharepoint.example/sites/Sales-Pricing-RateCards</t>
  </si>
  <si>
    <t>Sales-Pipeline</t>
  </si>
  <si>
    <t>https://zava.sharepoint.example/sites/Sales-Pipeline</t>
  </si>
  <si>
    <t>Sales-Tenders</t>
  </si>
  <si>
    <t>https://zava.sharepoint.example/sites/Sales-Tenders</t>
  </si>
  <si>
    <t>Freight-Ops-UAE</t>
  </si>
  <si>
    <t>https://zava.sharepoint.example/sites/Freight-Ops-UAE</t>
  </si>
  <si>
    <t>Freight-Ops-KSA</t>
  </si>
  <si>
    <t>https://zava.sharepoint.example/sites/Freight-Ops-KSA</t>
  </si>
  <si>
    <t>Freight-Ops-Oman</t>
  </si>
  <si>
    <t>https://zava.sharepoint.example/sites/Freight-Ops-Oman</t>
  </si>
  <si>
    <t>Freight-Ops-Qatar</t>
  </si>
  <si>
    <t>https://zava.sharepoint.example/sites/Freight-Ops-Qatar</t>
  </si>
  <si>
    <t>Freight-Customs</t>
  </si>
  <si>
    <t>https://zava.sharepoint.example/sites/Freight-Customs</t>
  </si>
  <si>
    <t>Fleet-Maintenance</t>
  </si>
  <si>
    <t>https://zava.sharepoint.example/sites/Fleet-Maintenance</t>
  </si>
  <si>
    <t>Procurement-Contracts</t>
  </si>
  <si>
    <t>https://zava.sharepoint.example/sites/Procurement-Contracts</t>
  </si>
  <si>
    <t>Procurement-Vendors</t>
  </si>
  <si>
    <t>https://zava.sharepoint.example/sites/Procurement-Vendors</t>
  </si>
  <si>
    <t>Legal-Contracts</t>
  </si>
  <si>
    <t>https://zava.sharepoint.example/sites/Legal-Contracts</t>
  </si>
  <si>
    <t>Legal-Disputes</t>
  </si>
  <si>
    <t>https://zava.sharepoint.example/sites/Legal-Disputes</t>
  </si>
  <si>
    <t>Compliance-AML</t>
  </si>
  <si>
    <t>https://zava.sharepoint.example/sites/Compliance-AML</t>
  </si>
  <si>
    <t>Marketing-Brand</t>
  </si>
  <si>
    <t>https://zava.sharepoint.example/sites/Marketing-Brand</t>
  </si>
  <si>
    <t>Marketing-Events</t>
  </si>
  <si>
    <t>https://zava.sharepoint.example/sites/Marketing-Events</t>
  </si>
  <si>
    <t>Intranet-News</t>
  </si>
  <si>
    <t>https://zava.sharepoint.example/sites/Intranet-News</t>
  </si>
  <si>
    <t>Programme-Horizon</t>
  </si>
  <si>
    <t>https://zava.sharepoint.example/sites/Programme-Horizon</t>
  </si>
  <si>
    <t>Priya Nair</t>
  </si>
  <si>
    <t>Programme-Horizon-DataMigration</t>
  </si>
  <si>
    <t>https://zava.sharepoint.example/sites/Programme-Horizon-DataMigration</t>
  </si>
  <si>
    <t>Programme-Horizon-Testing</t>
  </si>
  <si>
    <t>https://zava.sharepoint.example/sites/Programme-Horizon-Testing</t>
  </si>
  <si>
    <t>Programme-Copilot-Pilot</t>
  </si>
  <si>
    <t>https://zava.sharepoint.example/sites/Programme-Copilot-Pilot</t>
  </si>
  <si>
    <t>Training-Academy</t>
  </si>
  <si>
    <t>https://zava.sharepoint.example/sites/Training-Academy</t>
  </si>
  <si>
    <t>Facilities-JAFZ</t>
  </si>
  <si>
    <t>https://zava.sharepoint.example/sites/Facilities-JAFZ</t>
  </si>
  <si>
    <t>QHSE-Incidents</t>
  </si>
  <si>
    <t>https://zava.sharepoint.example/sites/QHSE-Incidents</t>
  </si>
  <si>
    <t>Board-Papers-Archive</t>
  </si>
  <si>
    <t>https://zava.sharepoint.example/sites/Board-Papers-Archive</t>
  </si>
  <si>
    <t>Projects-Archive-2019</t>
  </si>
  <si>
    <t>https://zava.sharepoint.example/sites/Projects-Archive-2019</t>
  </si>
  <si>
    <t>Team-Social</t>
  </si>
  <si>
    <t>https://zava.sharepoint.example/sites/Team-Social</t>
  </si>
  <si>
    <t>Copilot pilot survey responses (n = 120)   |   Fictitious test data – Copilot for Frontier Consultancy scenario testing</t>
  </si>
  <si>
    <t>Response ID</t>
  </si>
  <si>
    <t>Submitted</t>
  </si>
  <si>
    <t>Persona</t>
  </si>
  <si>
    <t>Satisfaction (1–5)</t>
  </si>
  <si>
    <t>Minutes saved per week</t>
  </si>
  <si>
    <t>Top use case</t>
  </si>
  <si>
    <t>Comment</t>
  </si>
  <si>
    <t>SRV-001</t>
  </si>
  <si>
    <t>Finance analyst</t>
  </si>
  <si>
    <t>Meeting recap in Teams</t>
  </si>
  <si>
    <t>Helped me prepare for the SteerCo pre-meeting in half the time.</t>
  </si>
  <si>
    <t>SRV-002</t>
  </si>
  <si>
    <t>Manager / knowledge worker</t>
  </si>
  <si>
    <t>Only works well when files are in OneDrive/SharePoint, not on my desktop.</t>
  </si>
  <si>
    <t>SRV-003</t>
  </si>
  <si>
    <t>Operations supervisor</t>
  </si>
  <si>
    <t>Very useful for first drafts of SOPs.</t>
  </si>
  <si>
    <t>SRV-004</t>
  </si>
  <si>
    <t>Customer service agent</t>
  </si>
  <si>
    <t>Summarise case history</t>
  </si>
  <si>
    <t>I use it every day in Outlook now.</t>
  </si>
  <si>
    <t>SRV-005</t>
  </si>
  <si>
    <t>Summarise email threads</t>
  </si>
  <si>
    <t>Works well in Teams; less useful in Excel with our big files.</t>
  </si>
  <si>
    <t>SRV-006</t>
  </si>
  <si>
    <t>Summarising case history before a call saves me minutes every time.</t>
  </si>
  <si>
    <t>SRV-007</t>
  </si>
  <si>
    <t>Create PowerPoint from Word</t>
  </si>
  <si>
    <t>SRV-008</t>
  </si>
  <si>
    <t>Copilot surfaced a payroll spreadsheet from the HR site that I should not have access to.</t>
  </si>
  <si>
    <t>SRV-009</t>
  </si>
  <si>
    <t>Draft customer replies in Outlook</t>
  </si>
  <si>
    <t>Great for catching up on long Teams chats with the Jebel Ali team.</t>
  </si>
  <si>
    <t>SRV-010</t>
  </si>
  <si>
    <t>Shift handover summaries</t>
  </si>
  <si>
    <t>SRV-011</t>
  </si>
  <si>
    <t>SRV-012</t>
  </si>
  <si>
    <t>SRV-013</t>
  </si>
  <si>
    <t>The email summaries are excellent when I come back from leave.</t>
  </si>
  <si>
    <t>SRV-014</t>
  </si>
  <si>
    <t>Search across files with Copilot Cowork</t>
  </si>
  <si>
    <t>Turning Word documents into slides is a big win.</t>
  </si>
  <si>
    <t>SRV-015</t>
  </si>
  <si>
    <t>Draft SOPs in Word</t>
  </si>
  <si>
    <t>Shift handover summary takes 5 minutes instead of 20.</t>
  </si>
  <si>
    <t>SRV-016</t>
  </si>
  <si>
    <t>SRV-017</t>
  </si>
  <si>
    <t>SRV-018</t>
  </si>
  <si>
    <t>SRV-019</t>
  </si>
  <si>
    <t>Replying to customers in Arabic and English is much faster.</t>
  </si>
  <si>
    <t>SRV-020</t>
  </si>
  <si>
    <t>SRV-021</t>
  </si>
  <si>
    <t>SRV-022</t>
  </si>
  <si>
    <t>SRV-023</t>
  </si>
  <si>
    <t>SRV-024</t>
  </si>
  <si>
    <t>SRV-025</t>
  </si>
  <si>
    <t>SRV-026</t>
  </si>
  <si>
    <t>Reconciliation analysis in Excel</t>
  </si>
  <si>
    <t>Month-end variance commentary drafts are 80% there; I just edit.</t>
  </si>
  <si>
    <t>SRV-027</t>
  </si>
  <si>
    <t>SRV-028</t>
  </si>
  <si>
    <t>SRV-029</t>
  </si>
  <si>
    <t>Saves me a lot of time on meeting notes – I no longer take minutes.</t>
  </si>
  <si>
    <t>SRV-030</t>
  </si>
  <si>
    <t>Month-end commentary in Excel</t>
  </si>
  <si>
    <t>Good for summaries; drafts still need heavy editing.</t>
  </si>
  <si>
    <t>SRV-031</t>
  </si>
  <si>
    <t>SRV-032</t>
  </si>
  <si>
    <t>SRV-033</t>
  </si>
  <si>
    <t>SRV-034</t>
  </si>
  <si>
    <t>Answers referenced an old board paper from the Finance-Board site – worrying.</t>
  </si>
  <si>
    <t>SRV-035</t>
  </si>
  <si>
    <t>SRV-036</t>
  </si>
  <si>
    <t>SRV-037</t>
  </si>
  <si>
    <t>Sometimes slow; quality is OK.</t>
  </si>
  <si>
    <t>SRV-038</t>
  </si>
  <si>
    <t>Arabic responses are inconsistent.</t>
  </si>
  <si>
    <t>SRV-039</t>
  </si>
  <si>
    <t>Translate Arabic/English emails</t>
  </si>
  <si>
    <t>Not sure what data it can see – would like guidance.</t>
  </si>
  <si>
    <t>SRV-040</t>
  </si>
  <si>
    <t>Useful but I need better prompts for Excel.</t>
  </si>
  <si>
    <t>SRV-041</t>
  </si>
  <si>
    <t>SRV-042</t>
  </si>
  <si>
    <t>SRV-043</t>
  </si>
  <si>
    <t>SRV-044</t>
  </si>
  <si>
    <t>SRV-045</t>
  </si>
  <si>
    <t>SRV-046</t>
  </si>
  <si>
    <t>SRV-047</t>
  </si>
  <si>
    <t>SRV-048</t>
  </si>
  <si>
    <t>SRV-049</t>
  </si>
  <si>
    <t>SRV-050</t>
  </si>
  <si>
    <t>SRV-051</t>
  </si>
  <si>
    <t>SRV-052</t>
  </si>
  <si>
    <t>SRV-053</t>
  </si>
  <si>
    <t>It found a file from Projects-Archive-2019 that is out of date and gave a wrong answer.</t>
  </si>
  <si>
    <t>SRV-054</t>
  </si>
  <si>
    <t>SRV-055</t>
  </si>
  <si>
    <t>Excel features did not work with our legacy GP exports.</t>
  </si>
  <si>
    <t>SRV-056</t>
  </si>
  <si>
    <t>SRV-057</t>
  </si>
  <si>
    <t>SRV-058</t>
  </si>
  <si>
    <t>SRV-059</t>
  </si>
  <si>
    <t>SRV-060</t>
  </si>
  <si>
    <t>Hardly use it – queues are too busy to try new things.</t>
  </si>
  <si>
    <t>SRV-061</t>
  </si>
  <si>
    <t>SRV-062</t>
  </si>
  <si>
    <t>SRV-063</t>
  </si>
  <si>
    <t>SRV-064</t>
  </si>
  <si>
    <t>SRV-065</t>
  </si>
  <si>
    <t>SRV-066</t>
  </si>
  <si>
    <t>SRV-067</t>
  </si>
  <si>
    <t>SRV-068</t>
  </si>
  <si>
    <t>SRV-069</t>
  </si>
  <si>
    <t>SRV-070</t>
  </si>
  <si>
    <t>SRV-071</t>
  </si>
  <si>
    <t>SRV-072</t>
  </si>
  <si>
    <t>Reconciliation notes in Excel are much quicker to write.</t>
  </si>
  <si>
    <t>SRV-073</t>
  </si>
  <si>
    <t>SRV-074</t>
  </si>
  <si>
    <t>SRV-075</t>
  </si>
  <si>
    <t>SRV-076</t>
  </si>
  <si>
    <t>SRV-077</t>
  </si>
  <si>
    <t>SRV-078</t>
  </si>
  <si>
    <t>SRV-079</t>
  </si>
  <si>
    <t>SRV-080</t>
  </si>
  <si>
    <t>SRV-081</t>
  </si>
  <si>
    <t>SRV-082</t>
  </si>
  <si>
    <t>Would like training on prompts for my role.</t>
  </si>
  <si>
    <t>SRV-083</t>
  </si>
  <si>
    <t>SRV-084</t>
  </si>
  <si>
    <t>SRV-085</t>
  </si>
  <si>
    <t>SRV-086</t>
  </si>
  <si>
    <t>SRV-087</t>
  </si>
  <si>
    <t>SRV-088</t>
  </si>
  <si>
    <t>SRV-089</t>
  </si>
  <si>
    <t>SRV-090</t>
  </si>
  <si>
    <t>SRV-091</t>
  </si>
  <si>
    <t>SRV-092</t>
  </si>
  <si>
    <t>SRV-093</t>
  </si>
  <si>
    <t>SRV-094</t>
  </si>
  <si>
    <t>SRV-095</t>
  </si>
  <si>
    <t>SRV-096</t>
  </si>
  <si>
    <t>SRV-097</t>
  </si>
  <si>
    <t>SRV-098</t>
  </si>
  <si>
    <t>SRV-099</t>
  </si>
  <si>
    <t>SRV-100</t>
  </si>
  <si>
    <t>SRV-101</t>
  </si>
  <si>
    <t>SRV-102</t>
  </si>
  <si>
    <t>SRV-103</t>
  </si>
  <si>
    <t>SRV-104</t>
  </si>
  <si>
    <t>SRV-105</t>
  </si>
  <si>
    <t>SRV-106</t>
  </si>
  <si>
    <t>SRV-107</t>
  </si>
  <si>
    <t>SRV-108</t>
  </si>
  <si>
    <t>SRV-109</t>
  </si>
  <si>
    <t>SRV-110</t>
  </si>
  <si>
    <t>SRV-111</t>
  </si>
  <si>
    <t>SRV-112</t>
  </si>
  <si>
    <t>SRV-113</t>
  </si>
  <si>
    <t>SRV-114</t>
  </si>
  <si>
    <t>SRV-115</t>
  </si>
  <si>
    <t>SRV-116</t>
  </si>
  <si>
    <t>SRV-117</t>
  </si>
  <si>
    <t>SRV-118</t>
  </si>
  <si>
    <t>SRV-119</t>
  </si>
  <si>
    <t>SRV-120</t>
  </si>
  <si>
    <t>Copilot training completion by persona   |   Fictitious test data – Copilot for Frontier Consultancy scenario testing</t>
  </si>
  <si>
    <t>Users in scope</t>
  </si>
  <si>
    <t>Module 1 – Copilot fundamentals</t>
  </si>
  <si>
    <t>Module 2 – Prompting for your role</t>
  </si>
  <si>
    <t>Module 3 – Data protection &amp; responsible use</t>
  </si>
  <si>
    <t>All modules completed</t>
  </si>
  <si>
    <t>Completion % (all modules)</t>
  </si>
  <si>
    <t>Gap to 90% target (users)</t>
  </si>
  <si>
    <t>Total</t>
  </si>
  <si>
    <t>Completion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</si>
</sst>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i/>
      <sz val="11"/>
      <color rgb="FF7A4A00"/>
      <name val="Calibri"/>
    </font>
    <font>
      <b/>
      <sz val="11"/>
      <color rgb="FF1B3A57"/>
      <name val="Calibri"/>
    </font>
    <font>
      <sz val="11"/>
      <color rgb="FF0000FF"/>
      <name val="Calibri"/>
    </font>
    <font>
      <b/>
      <sz val="14"/>
      <color rgb="FF1B3A57"/>
      <name val="Calibri"/>
    </font>
    <font>
      <b/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A57"/>
        <bgColor indexed="64"/>
      </patternFill>
    </fill>
    <fill>
      <patternFill patternType="solid">
        <fgColor rgb="FFFDF0DC"/>
        <bgColor indexed="64"/>
      </patternFill>
    </fill>
    <fill>
      <patternFill patternType="solid">
        <fgColor rgb="FFF2A93B"/>
        <bgColor indexed="64"/>
      </patternFill>
    </fill>
    <fill>
      <patternFill patternType="solid">
        <fgColor rgb="FFEAF1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164" fontId="7" fillId="0" borderId="0" xfId="0" applyNumberFormat="1" applyFont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2" fillId="4" borderId="0" xfId="0" applyFont="1" applyFill="1" applyAlignment="1">
      <alignment vertical="top"/>
    </xf>
    <xf numFmtId="3" fontId="2" fillId="4" borderId="0" xfId="0" applyNumberFormat="1" applyFont="1" applyFill="1" applyAlignment="1">
      <alignment vertical="top"/>
    </xf>
    <xf numFmtId="165" fontId="2" fillId="4" borderId="0" xfId="0" applyNumberFormat="1" applyFont="1" applyFill="1" applyAlignment="1">
      <alignment vertical="top"/>
    </xf>
    <xf numFmtId="0" fontId="2" fillId="0" borderId="0" xfId="0" applyFont="1"/>
    <xf numFmtId="9" fontId="9" fillId="0" borderId="0" xfId="0" applyNumberFormat="1" applyFont="1"/>
    <xf numFmtId="0" fontId="3" fillId="2" borderId="0" xfId="0" applyFont="1" applyFill="1"/>
    <xf numFmtId="3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5" borderId="0" xfId="0" applyFont="1" applyFill="1"/>
    <xf numFmtId="3" fontId="1" fillId="5" borderId="0" xfId="0" applyNumberFormat="1" applyFont="1" applyFill="1" applyAlignment="1">
      <alignment horizontal="right"/>
    </xf>
    <xf numFmtId="165" fontId="1" fillId="5" borderId="0" xfId="0" applyNumberFormat="1" applyFont="1" applyFill="1" applyAlignment="1">
      <alignment horizontal="right"/>
    </xf>
    <xf numFmtId="2" fontId="1" fillId="5" borderId="0" xfId="0" applyNumberFormat="1" applyFont="1" applyFill="1" applyAlignment="1">
      <alignment horizontal="right"/>
    </xf>
    <xf numFmtId="0" fontId="2" fillId="4" borderId="0" xfId="0" applyFont="1" applyFill="1"/>
    <xf numFmtId="3" fontId="2" fillId="4" borderId="0" xfId="0" applyNumberFormat="1" applyFont="1" applyFill="1" applyAlignment="1">
      <alignment horizontal="right"/>
    </xf>
    <xf numFmtId="0" fontId="4" fillId="2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.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b/>
        <i val="0"/>
        <color rgb="FF9C0006"/>
      </font>
      <fill>
        <patternFill patternType="solid">
          <fgColor indexed="64"/>
          <bgColor rgb="FFF8D7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.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\ mmm\ 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.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.0%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B3A57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active pilot users up from 78 to 108 in 8 weeks; Teams and Outlook lead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Usage!$A$3:$A$10</c:f>
              <c:numCache>
                <c:formatCode>dd\ mmm\ yyyy</c:formatCode>
                <c:ptCount val="8"/>
                <c:pt idx="0">
                  <c:v>46258</c:v>
                </c:pt>
                <c:pt idx="1">
                  <c:v>46265</c:v>
                </c:pt>
                <c:pt idx="2">
                  <c:v>46272</c:v>
                </c:pt>
                <c:pt idx="3">
                  <c:v>46279</c:v>
                </c:pt>
                <c:pt idx="4">
                  <c:v>46286</c:v>
                </c:pt>
                <c:pt idx="5">
                  <c:v>46293</c:v>
                </c:pt>
                <c:pt idx="6">
                  <c:v>46300</c:v>
                </c:pt>
                <c:pt idx="7">
                  <c:v>46307</c:v>
                </c:pt>
              </c:numCache>
            </c:numRef>
          </c:cat>
          <c:val>
            <c:numRef>
              <c:f>Usage!$B$3:$B$10</c:f>
              <c:numCache>
                <c:formatCode>#,##0</c:formatCode>
                <c:ptCount val="8"/>
                <c:pt idx="0">
                  <c:v>62</c:v>
                </c:pt>
                <c:pt idx="1">
                  <c:v>66</c:v>
                </c:pt>
                <c:pt idx="2">
                  <c:v>76</c:v>
                </c:pt>
                <c:pt idx="3">
                  <c:v>80</c:v>
                </c:pt>
                <c:pt idx="4">
                  <c:v>82</c:v>
                </c:pt>
                <c:pt idx="5">
                  <c:v>90</c:v>
                </c:pt>
                <c:pt idx="6">
                  <c:v>93</c:v>
                </c:pt>
                <c:pt idx="7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F8-4BB0-A422-3BC1BCFFDD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Usage!$A$3:$A$10</c:f>
              <c:numCache>
                <c:formatCode>dd\ mmm\ yyyy</c:formatCode>
                <c:ptCount val="8"/>
                <c:pt idx="0">
                  <c:v>46258</c:v>
                </c:pt>
                <c:pt idx="1">
                  <c:v>46265</c:v>
                </c:pt>
                <c:pt idx="2">
                  <c:v>46272</c:v>
                </c:pt>
                <c:pt idx="3">
                  <c:v>46279</c:v>
                </c:pt>
                <c:pt idx="4">
                  <c:v>46286</c:v>
                </c:pt>
                <c:pt idx="5">
                  <c:v>46293</c:v>
                </c:pt>
                <c:pt idx="6">
                  <c:v>46300</c:v>
                </c:pt>
                <c:pt idx="7">
                  <c:v>46307</c:v>
                </c:pt>
              </c:numCache>
            </c:numRef>
          </c:cat>
          <c:val>
            <c:numRef>
              <c:f>Usage!$C$3:$C$10</c:f>
              <c:numCache>
                <c:formatCode>#,##0</c:formatCode>
                <c:ptCount val="8"/>
                <c:pt idx="0">
                  <c:v>55</c:v>
                </c:pt>
                <c:pt idx="1">
                  <c:v>61</c:v>
                </c:pt>
                <c:pt idx="2">
                  <c:v>69</c:v>
                </c:pt>
                <c:pt idx="3">
                  <c:v>74</c:v>
                </c:pt>
                <c:pt idx="4">
                  <c:v>75</c:v>
                </c:pt>
                <c:pt idx="5">
                  <c:v>82</c:v>
                </c:pt>
                <c:pt idx="6">
                  <c:v>88</c:v>
                </c:pt>
                <c:pt idx="7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F8-4BB0-A422-3BC1BCFFDDD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Usage!$A$3:$A$10</c:f>
              <c:numCache>
                <c:formatCode>dd\ mmm\ yyyy</c:formatCode>
                <c:ptCount val="8"/>
                <c:pt idx="0">
                  <c:v>46258</c:v>
                </c:pt>
                <c:pt idx="1">
                  <c:v>46265</c:v>
                </c:pt>
                <c:pt idx="2">
                  <c:v>46272</c:v>
                </c:pt>
                <c:pt idx="3">
                  <c:v>46279</c:v>
                </c:pt>
                <c:pt idx="4">
                  <c:v>46286</c:v>
                </c:pt>
                <c:pt idx="5">
                  <c:v>46293</c:v>
                </c:pt>
                <c:pt idx="6">
                  <c:v>46300</c:v>
                </c:pt>
                <c:pt idx="7">
                  <c:v>46307</c:v>
                </c:pt>
              </c:numCache>
            </c:numRef>
          </c:cat>
          <c:val>
            <c:numRef>
              <c:f>Usage!$D$3:$D$10</c:f>
              <c:numCache>
                <c:formatCode>#,##0</c:formatCode>
                <c:ptCount val="8"/>
                <c:pt idx="0">
                  <c:v>30</c:v>
                </c:pt>
                <c:pt idx="1">
                  <c:v>37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50</c:v>
                </c:pt>
                <c:pt idx="6">
                  <c:v>56</c:v>
                </c:pt>
                <c:pt idx="7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F8-4BB0-A422-3BC1BCFFDDD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Usage!$A$3:$A$10</c:f>
              <c:numCache>
                <c:formatCode>dd\ mmm\ yyyy</c:formatCode>
                <c:ptCount val="8"/>
                <c:pt idx="0">
                  <c:v>46258</c:v>
                </c:pt>
                <c:pt idx="1">
                  <c:v>46265</c:v>
                </c:pt>
                <c:pt idx="2">
                  <c:v>46272</c:v>
                </c:pt>
                <c:pt idx="3">
                  <c:v>46279</c:v>
                </c:pt>
                <c:pt idx="4">
                  <c:v>46286</c:v>
                </c:pt>
                <c:pt idx="5">
                  <c:v>46293</c:v>
                </c:pt>
                <c:pt idx="6">
                  <c:v>46300</c:v>
                </c:pt>
                <c:pt idx="7">
                  <c:v>46307</c:v>
                </c:pt>
              </c:numCache>
            </c:numRef>
          </c:cat>
          <c:val>
            <c:numRef>
              <c:f>Usage!$E$3:$E$10</c:f>
              <c:numCache>
                <c:formatCode>#,##0</c:formatCode>
                <c:ptCount val="8"/>
                <c:pt idx="0">
                  <c:v>18</c:v>
                </c:pt>
                <c:pt idx="1">
                  <c:v>24</c:v>
                </c:pt>
                <c:pt idx="2">
                  <c:v>26</c:v>
                </c:pt>
                <c:pt idx="3">
                  <c:v>28</c:v>
                </c:pt>
                <c:pt idx="4">
                  <c:v>30</c:v>
                </c:pt>
                <c:pt idx="5">
                  <c:v>36</c:v>
                </c:pt>
                <c:pt idx="6">
                  <c:v>36</c:v>
                </c:pt>
                <c:pt idx="7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F8-4BB0-A422-3BC1BCFFDDD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Usage!$A$3:$A$10</c:f>
              <c:numCache>
                <c:formatCode>dd\ mmm\ yyyy</c:formatCode>
                <c:ptCount val="8"/>
                <c:pt idx="0">
                  <c:v>46258</c:v>
                </c:pt>
                <c:pt idx="1">
                  <c:v>46265</c:v>
                </c:pt>
                <c:pt idx="2">
                  <c:v>46272</c:v>
                </c:pt>
                <c:pt idx="3">
                  <c:v>46279</c:v>
                </c:pt>
                <c:pt idx="4">
                  <c:v>46286</c:v>
                </c:pt>
                <c:pt idx="5">
                  <c:v>46293</c:v>
                </c:pt>
                <c:pt idx="6">
                  <c:v>46300</c:v>
                </c:pt>
                <c:pt idx="7">
                  <c:v>46307</c:v>
                </c:pt>
              </c:numCache>
            </c:numRef>
          </c:cat>
          <c:val>
            <c:numRef>
              <c:f>Usage!$F$3:$F$10</c:f>
              <c:numCache>
                <c:formatCode>#,##0</c:formatCode>
                <c:ptCount val="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18</c:v>
                </c:pt>
                <c:pt idx="4">
                  <c:v>23</c:v>
                </c:pt>
                <c:pt idx="5">
                  <c:v>25</c:v>
                </c:pt>
                <c:pt idx="6">
                  <c:v>27</c:v>
                </c:pt>
                <c:pt idx="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0F8-4BB0-A422-3BC1BCFFDDD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Usage!$A$3:$A$10</c:f>
              <c:numCache>
                <c:formatCode>dd\ mmm\ yyyy</c:formatCode>
                <c:ptCount val="8"/>
                <c:pt idx="0">
                  <c:v>46258</c:v>
                </c:pt>
                <c:pt idx="1">
                  <c:v>46265</c:v>
                </c:pt>
                <c:pt idx="2">
                  <c:v>46272</c:v>
                </c:pt>
                <c:pt idx="3">
                  <c:v>46279</c:v>
                </c:pt>
                <c:pt idx="4">
                  <c:v>46286</c:v>
                </c:pt>
                <c:pt idx="5">
                  <c:v>46293</c:v>
                </c:pt>
                <c:pt idx="6">
                  <c:v>46300</c:v>
                </c:pt>
                <c:pt idx="7">
                  <c:v>46307</c:v>
                </c:pt>
              </c:numCache>
            </c:numRef>
          </c:cat>
          <c:val>
            <c:numRef>
              <c:f>Usage!$G$3:$G$10</c:f>
              <c:numCache>
                <c:formatCode>#,##0</c:formatCode>
                <c:ptCount val="8"/>
                <c:pt idx="0">
                  <c:v>48</c:v>
                </c:pt>
                <c:pt idx="1">
                  <c:v>54</c:v>
                </c:pt>
                <c:pt idx="2">
                  <c:v>63</c:v>
                </c:pt>
                <c:pt idx="3">
                  <c:v>69</c:v>
                </c:pt>
                <c:pt idx="4">
                  <c:v>70</c:v>
                </c:pt>
                <c:pt idx="5">
                  <c:v>78</c:v>
                </c:pt>
                <c:pt idx="6">
                  <c:v>81</c:v>
                </c:pt>
                <c:pt idx="7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0F8-4BB0-A422-3BC1BCFFD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72967"/>
        <c:axId val="152907783"/>
      </c:lineChart>
      <c:dateAx>
        <c:axId val="152872967"/>
        <c:scaling>
          <c:orientation val="minMax"/>
        </c:scaling>
        <c:delete val="0"/>
        <c:axPos val="b"/>
        <c:numFmt formatCode="dd\ 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07783"/>
        <c:crosses val="autoZero"/>
        <c:auto val="1"/>
        <c:lblOffset val="100"/>
        <c:baseTimeUnit val="days"/>
      </c:dateAx>
      <c:valAx>
        <c:axId val="152907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2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Operations supervisors furthest from the 90% training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'Training completion'!$A$3:$A$6</c:f>
              <c:strCache>
                <c:ptCount val="4"/>
                <c:pt idx="0">
                  <c:v>Finance analyst</c:v>
                </c:pt>
                <c:pt idx="1">
                  <c:v>Customer service agent</c:v>
                </c:pt>
                <c:pt idx="2">
                  <c:v>Operations supervisor</c:v>
                </c:pt>
                <c:pt idx="3">
                  <c:v>Manager / knowledge worker</c:v>
                </c:pt>
              </c:strCache>
            </c:strRef>
          </c:cat>
          <c:val>
            <c:numRef>
              <c:f>'Training completion'!$B$3:$B$6</c:f>
              <c:numCache>
                <c:formatCode>#,##0</c:formatCode>
                <c:ptCount val="4"/>
                <c:pt idx="0">
                  <c:v>95</c:v>
                </c:pt>
                <c:pt idx="1">
                  <c:v>110</c:v>
                </c:pt>
                <c:pt idx="2">
                  <c:v>175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E-4E22-96E2-4C7F17B9487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'Training completion'!$A$3:$A$6</c:f>
              <c:strCache>
                <c:ptCount val="4"/>
                <c:pt idx="0">
                  <c:v>Finance analyst</c:v>
                </c:pt>
                <c:pt idx="1">
                  <c:v>Customer service agent</c:v>
                </c:pt>
                <c:pt idx="2">
                  <c:v>Operations supervisor</c:v>
                </c:pt>
                <c:pt idx="3">
                  <c:v>Manager / knowledge worker</c:v>
                </c:pt>
              </c:strCache>
            </c:strRef>
          </c:cat>
          <c:val>
            <c:numRef>
              <c:f>'Training completion'!$C$3:$C$6</c:f>
              <c:numCache>
                <c:formatCode>#,##0</c:formatCode>
                <c:ptCount val="4"/>
                <c:pt idx="0">
                  <c:v>91</c:v>
                </c:pt>
                <c:pt idx="1">
                  <c:v>104</c:v>
                </c:pt>
                <c:pt idx="2">
                  <c:v>139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E-4E22-96E2-4C7F17B9487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'Training completion'!$A$3:$A$6</c:f>
              <c:strCache>
                <c:ptCount val="4"/>
                <c:pt idx="0">
                  <c:v>Finance analyst</c:v>
                </c:pt>
                <c:pt idx="1">
                  <c:v>Customer service agent</c:v>
                </c:pt>
                <c:pt idx="2">
                  <c:v>Operations supervisor</c:v>
                </c:pt>
                <c:pt idx="3">
                  <c:v>Manager / knowledge worker</c:v>
                </c:pt>
              </c:strCache>
            </c:strRef>
          </c:cat>
          <c:val>
            <c:numRef>
              <c:f>'Training completion'!$D$3:$D$6</c:f>
              <c:numCache>
                <c:formatCode>#,##0</c:formatCode>
                <c:ptCount val="4"/>
                <c:pt idx="0">
                  <c:v>84</c:v>
                </c:pt>
                <c:pt idx="1">
                  <c:v>88</c:v>
                </c:pt>
                <c:pt idx="2">
                  <c:v>101</c:v>
                </c:pt>
                <c:pt idx="3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8E-4E22-96E2-4C7F17B9487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'Training completion'!$A$3:$A$6</c:f>
              <c:strCache>
                <c:ptCount val="4"/>
                <c:pt idx="0">
                  <c:v>Finance analyst</c:v>
                </c:pt>
                <c:pt idx="1">
                  <c:v>Customer service agent</c:v>
                </c:pt>
                <c:pt idx="2">
                  <c:v>Operations supervisor</c:v>
                </c:pt>
                <c:pt idx="3">
                  <c:v>Manager / knowledge worker</c:v>
                </c:pt>
              </c:strCache>
            </c:strRef>
          </c:cat>
          <c:val>
            <c:numRef>
              <c:f>'Training completion'!$E$3:$E$6</c:f>
              <c:numCache>
                <c:formatCode>#,##0</c:formatCode>
                <c:ptCount val="4"/>
                <c:pt idx="0">
                  <c:v>77</c:v>
                </c:pt>
                <c:pt idx="1">
                  <c:v>79</c:v>
                </c:pt>
                <c:pt idx="2">
                  <c:v>83</c:v>
                </c:pt>
                <c:pt idx="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8E-4E22-96E2-4C7F17B9487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'Training completion'!$A$3:$A$6</c:f>
              <c:strCache>
                <c:ptCount val="4"/>
                <c:pt idx="0">
                  <c:v>Finance analyst</c:v>
                </c:pt>
                <c:pt idx="1">
                  <c:v>Customer service agent</c:v>
                </c:pt>
                <c:pt idx="2">
                  <c:v>Operations supervisor</c:v>
                </c:pt>
                <c:pt idx="3">
                  <c:v>Manager / knowledge worker</c:v>
                </c:pt>
              </c:strCache>
            </c:strRef>
          </c:cat>
          <c:val>
            <c:numRef>
              <c:f>'Training completion'!$F$3:$F$6</c:f>
              <c:numCache>
                <c:formatCode>#,##0</c:formatCode>
                <c:ptCount val="4"/>
                <c:pt idx="0">
                  <c:v>72</c:v>
                </c:pt>
                <c:pt idx="1">
                  <c:v>74</c:v>
                </c:pt>
                <c:pt idx="2">
                  <c:v>70</c:v>
                </c:pt>
                <c:pt idx="3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8E-4E22-96E2-4C7F17B9487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'Training completion'!$A$3:$A$6</c:f>
              <c:strCache>
                <c:ptCount val="4"/>
                <c:pt idx="0">
                  <c:v>Finance analyst</c:v>
                </c:pt>
                <c:pt idx="1">
                  <c:v>Customer service agent</c:v>
                </c:pt>
                <c:pt idx="2">
                  <c:v>Operations supervisor</c:v>
                </c:pt>
                <c:pt idx="3">
                  <c:v>Manager / knowledge worker</c:v>
                </c:pt>
              </c:strCache>
            </c:strRef>
          </c:cat>
          <c:val>
            <c:numRef>
              <c:f>'Training completion'!$G$3:$G$6</c:f>
              <c:numCache>
                <c:formatCode>0.0%</c:formatCode>
                <c:ptCount val="4"/>
                <c:pt idx="0">
                  <c:v>0.75789473684210529</c:v>
                </c:pt>
                <c:pt idx="1">
                  <c:v>0.67272727272727273</c:v>
                </c:pt>
                <c:pt idx="2">
                  <c:v>0.4</c:v>
                </c:pt>
                <c:pt idx="3">
                  <c:v>0.43636363636363634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8E-4E22-96E2-4C7F17B94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06311"/>
        <c:axId val="204708359"/>
      </c:barChart>
      <c:catAx>
        <c:axId val="204706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8359"/>
        <c:crosses val="autoZero"/>
        <c:auto val="1"/>
        <c:lblAlgn val="ctr"/>
        <c:lblOffset val="100"/>
        <c:noMultiLvlLbl val="0"/>
      </c:catAx>
      <c:valAx>
        <c:axId val="204708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06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CADB60-951A-95AC-F82A-4DD7BA3FA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00A2C-AEB7-9115-4690-6B57A8ABF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BCEF1-30E8-4955-9179-1ABE7FD487EC}" name="Licences" displayName="Licences" ref="A2:G14" totalsRowShown="0" headerRowDxfId="53" dataDxfId="52">
  <autoFilter ref="A2:G14" xr:uid="{DC2BCEF1-30E8-4955-9179-1ABE7FD487EC}"/>
  <tableColumns count="7">
    <tableColumn id="1" xr3:uid="{C6A36CE9-C770-41AA-865F-67F8CE3CC1DC}" name="Department" dataDxfId="51"/>
    <tableColumn id="2" xr3:uid="{16A3FBAF-65C8-49C4-8317-4B29EB652308}" name="Headcount" dataDxfId="50"/>
    <tableColumn id="3" xr3:uid="{27B18A52-577B-4E50-8E98-EAF50774E357}" name="Licences assigned" dataDxfId="49"/>
    <tableColumn id="4" xr3:uid="{96CC0449-4A64-4BE8-A354-D1D2EDE1A4A9}" name="Licence coverage %" dataDxfId="48">
      <calculatedColumnFormula>IF(B3=0,0,C3/B3)</calculatedColumnFormula>
    </tableColumn>
    <tableColumn id="5" xr3:uid="{7176E49F-6136-4F50-A86C-5AAC9D2F152A}" name="Pilot users" dataDxfId="47"/>
    <tableColumn id="6" xr3:uid="{BDF20656-EB30-434D-BA31-0702BA36A0C8}" name="Active users (last 28 days)" dataDxfId="46"/>
    <tableColumn id="7" xr3:uid="{13082C26-3DF4-4502-87A6-15EF8CC1242B}" name="Active rate %" dataDxfId="45">
      <calculatedColumnFormula>IF(C3=0,0,F3/C3)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145450-4103-4E48-86FF-27C8A15E5D4F}" name="WeeklyUsage" displayName="WeeklyUsage" ref="A2:J10" totalsRowShown="0" headerRowDxfId="44" dataDxfId="43">
  <autoFilter ref="A2:J10" xr:uid="{F2145450-4103-4E48-86FF-27C8A15E5D4F}"/>
  <tableColumns count="10">
    <tableColumn id="1" xr3:uid="{3C5AA95D-C4E7-45EA-B3B1-1D449E9EA379}" name="Week commencing" dataDxfId="42"/>
    <tableColumn id="2" xr3:uid="{CE231144-C06E-494B-B254-09FCECE2E245}" name="Teams" dataDxfId="41"/>
    <tableColumn id="3" xr3:uid="{CCB6EA15-8225-4D45-8E31-A01186F1AE78}" name="Outlook" dataDxfId="40"/>
    <tableColumn id="4" xr3:uid="{1FCDC7B4-6977-4DDD-BF27-A8655CE3BED9}" name="Word" dataDxfId="39"/>
    <tableColumn id="5" xr3:uid="{31B0C781-A490-4907-8B59-5B92337C3ED8}" name="Excel" dataDxfId="38"/>
    <tableColumn id="6" xr3:uid="{61B7DEAA-D58D-40FB-895C-7EC819FFF1F3}" name="PowerPoint" dataDxfId="37"/>
    <tableColumn id="7" xr3:uid="{CA3C913B-B7C7-460E-83D9-3EAE424122DA}" name="Copilot Cowork" dataDxfId="36"/>
    <tableColumn id="8" xr3:uid="{1B265350-4B76-4D72-BFA2-7C79729E6852}" name="Any Copilot app" dataDxfId="35"/>
    <tableColumn id="9" xr3:uid="{E9D58FD9-B09F-46FE-89C7-380CFBF04DF2}" name="Pilot users" dataDxfId="34"/>
    <tableColumn id="10" xr3:uid="{3C849EA4-0B1E-4672-9E34-A38AF5021877}" name="Weekly active %" dataDxfId="33">
      <calculatedColumnFormula>IF(I3=0,0,H3/I3)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B87073-6274-4846-B135-D6A9C75367D4}" name="OversharingScan" displayName="OversharingScan" ref="A2:J62" totalsRowShown="0" headerRowDxfId="31" dataDxfId="30">
  <autoFilter ref="A2:J62" xr:uid="{E5B87073-6274-4846-B135-D6A9C75367D4}"/>
  <tableColumns count="10">
    <tableColumn id="1" xr3:uid="{344383EB-9637-4661-A097-0478E42FDBAF}" name="Site" dataDxfId="29"/>
    <tableColumn id="2" xr3:uid="{A7B7CD3C-BEB0-4B02-8402-A8B74E7E1DA7}" name="Site URL" dataDxfId="28"/>
    <tableColumn id="3" xr3:uid="{2F9FB6F8-D878-4B7E-9292-D099606A92FA}" name="Site owner" dataDxfId="27"/>
    <tableColumn id="4" xr3:uid="{A15C5382-D982-49F6-82F7-ECB0778AB311}" name="Department" dataDxfId="26"/>
    <tableColumn id="5" xr3:uid="{2135A3B7-C3C9-4EDF-A4E5-DA193DE2E10D}" name="Sensitivity label" dataDxfId="25"/>
    <tableColumn id="6" xr3:uid="{9AD42231-5DDF-48CE-83D8-B148C8F6080E}" name="Sharing scope" dataDxfId="24"/>
    <tableColumn id="7" xr3:uid="{33CA92BF-AE76-43DB-8600-F76886A10D25}" name="Everyone except external users" dataDxfId="23"/>
    <tableColumn id="8" xr3:uid="{B4AE64E1-7EAE-4CA7-A88F-D572745E08A6}" name="File count" dataDxfId="22"/>
    <tableColumn id="9" xr3:uid="{B9580C68-1842-406C-B0FE-4B43FDA2E08E}" name="Last activity" dataDxfId="21"/>
    <tableColumn id="10" xr3:uid="{5477A53C-7BC4-4F36-A932-EB7F1A62088E}" name="Flagged" dataDxfId="20">
      <calculatedColumnFormula>IF(G3="Yes","Yes","No")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BB5F3B-B4F5-4541-A118-46AF40A5062B}" name="PilotSurvey" displayName="PilotSurvey" ref="A2:H122" totalsRowShown="0" headerRowDxfId="19" dataDxfId="18">
  <autoFilter ref="A2:H122" xr:uid="{D4BB5F3B-B4F5-4541-A118-46AF40A5062B}"/>
  <tableColumns count="8">
    <tableColumn id="1" xr3:uid="{222D1F5B-E6B7-4420-809D-F241CE687302}" name="Response ID" dataDxfId="17"/>
    <tableColumn id="2" xr3:uid="{F87EEC34-EF58-4A8C-804A-34F2E76568E2}" name="Submitted" dataDxfId="16"/>
    <tableColumn id="3" xr3:uid="{BDD4C50C-1283-4A71-BEC0-5A4CFE259EF1}" name="Persona" dataDxfId="15"/>
    <tableColumn id="4" xr3:uid="{9B7CAA04-8E65-4945-A1C4-90BDB1080C5B}" name="Department" dataDxfId="14"/>
    <tableColumn id="5" xr3:uid="{C83989FE-D16A-4795-B201-B74697AC896B}" name="Satisfaction (1–5)" dataDxfId="13"/>
    <tableColumn id="6" xr3:uid="{DB6D5601-5443-4956-982C-715236D38E6B}" name="Minutes saved per week" dataDxfId="12"/>
    <tableColumn id="7" xr3:uid="{161AC25A-488C-4F10-B86D-0A158287072E}" name="Top use case" dataDxfId="11"/>
    <tableColumn id="8" xr3:uid="{E2197B37-FB19-42FB-B845-C7299148699D}" name="Comment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0067CA-BAD3-4205-9CC5-A36E43519108}" name="Training" displayName="Training" ref="A2:H7" totalsRowShown="0" headerRowDxfId="9" dataDxfId="8">
  <autoFilter ref="A2:H7" xr:uid="{A60067CA-BAD3-4205-9CC5-A36E43519108}"/>
  <tableColumns count="8">
    <tableColumn id="1" xr3:uid="{D03E9011-11ED-4148-BD64-0303191B9BA1}" name="Persona" dataDxfId="7"/>
    <tableColumn id="2" xr3:uid="{AE748186-61A9-4D23-A5EA-8A552941C0DE}" name="Users in scope" dataDxfId="6"/>
    <tableColumn id="3" xr3:uid="{3080BBBB-9DFC-450F-9489-8A81CA2E6F4D}" name="Module 1 – Copilot fundamentals" dataDxfId="5"/>
    <tableColumn id="4" xr3:uid="{D34FE6EC-518F-4EFB-A91C-07493DA82D2E}" name="Module 2 – Prompting for your role" dataDxfId="4"/>
    <tableColumn id="5" xr3:uid="{BE6D2835-4A47-4F16-AC49-0AE1CAFAC7C0}" name="Module 3 – Data protection &amp; responsible use" dataDxfId="3"/>
    <tableColumn id="6" xr3:uid="{3F40B29B-A6AC-4DFE-BAD6-3D7CD8A68C0C}" name="All modules completed" dataDxfId="2"/>
    <tableColumn id="7" xr3:uid="{4638D7E7-E78A-46E9-9C34-12305839130E}" name="Completion % (all modules)" dataDxfId="1">
      <calculatedColumnFormula>IF(B3=0,0,F3/B3)</calculatedColumnFormula>
    </tableColumn>
    <tableColumn id="8" xr3:uid="{1A9C53B2-8A1C-4577-95F5-9772905F9DE6}" name="Gap to 90% target (users)" dataDxfId="0">
      <calculatedColumnFormula>MAX(0,ROUNDUP(B3*$B$10-F3,0))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30.7109375" customWidth="1"/>
    <col min="2" max="2" width="110.7109375" customWidth="1"/>
  </cols>
  <sheetData>
    <row r="1" spans="1:2" ht="21">
      <c r="A1" s="30" t="s">
        <v>0</v>
      </c>
      <c r="B1" s="30"/>
    </row>
    <row r="2" spans="1:2">
      <c r="A2" s="31" t="s">
        <v>1</v>
      </c>
      <c r="B2" s="31"/>
    </row>
    <row r="3" spans="1:2">
      <c r="A3" s="3"/>
      <c r="B3" s="3"/>
    </row>
    <row r="4" spans="1:2" ht="45.75">
      <c r="A4" s="4" t="s">
        <v>2</v>
      </c>
      <c r="B4" s="3" t="s">
        <v>3</v>
      </c>
    </row>
    <row r="5" spans="1:2">
      <c r="A5" s="4" t="s">
        <v>4</v>
      </c>
      <c r="B5" s="3" t="s">
        <v>5</v>
      </c>
    </row>
    <row r="6" spans="1:2">
      <c r="A6" s="4" t="s">
        <v>6</v>
      </c>
      <c r="B6" s="3" t="s">
        <v>7</v>
      </c>
    </row>
    <row r="7" spans="1:2">
      <c r="A7" s="4" t="s">
        <v>8</v>
      </c>
      <c r="B7" s="8">
        <v>46314</v>
      </c>
    </row>
    <row r="8" spans="1:2">
      <c r="A8" s="4" t="s">
        <v>9</v>
      </c>
      <c r="B8" s="3" t="s">
        <v>10</v>
      </c>
    </row>
    <row r="9" spans="1:2">
      <c r="A9" s="4" t="s">
        <v>11</v>
      </c>
      <c r="B9" s="3" t="s">
        <v>12</v>
      </c>
    </row>
    <row r="10" spans="1:2">
      <c r="A10" s="4"/>
      <c r="B10" s="3"/>
    </row>
    <row r="11" spans="1:2">
      <c r="A11" s="5" t="s">
        <v>13</v>
      </c>
      <c r="B11" s="5" t="s">
        <v>14</v>
      </c>
    </row>
    <row r="12" spans="1:2">
      <c r="A12" s="4" t="s">
        <v>15</v>
      </c>
      <c r="B12" s="3" t="s">
        <v>16</v>
      </c>
    </row>
    <row r="13" spans="1:2">
      <c r="A13" s="4" t="s">
        <v>17</v>
      </c>
      <c r="B13" s="3" t="s">
        <v>18</v>
      </c>
    </row>
    <row r="14" spans="1:2">
      <c r="A14" s="4" t="s">
        <v>19</v>
      </c>
      <c r="B14" s="3" t="s">
        <v>20</v>
      </c>
    </row>
    <row r="15" spans="1:2" ht="30">
      <c r="A15" s="4" t="s">
        <v>21</v>
      </c>
      <c r="B15" s="3" t="s">
        <v>22</v>
      </c>
    </row>
    <row r="16" spans="1:2">
      <c r="A16" s="4" t="s">
        <v>23</v>
      </c>
      <c r="B16" s="3" t="s">
        <v>24</v>
      </c>
    </row>
    <row r="17" spans="1:2">
      <c r="A17" s="4" t="s">
        <v>25</v>
      </c>
      <c r="B17" s="3" t="s">
        <v>26</v>
      </c>
    </row>
    <row r="18" spans="1:2">
      <c r="A18" s="4"/>
      <c r="B18" s="3"/>
    </row>
    <row r="19" spans="1:2">
      <c r="A19" s="4" t="s">
        <v>27</v>
      </c>
      <c r="B19" s="3" t="s">
        <v>28</v>
      </c>
    </row>
    <row r="20" spans="1:2">
      <c r="A20" s="4" t="s">
        <v>29</v>
      </c>
      <c r="B20" s="3" t="s">
        <v>30</v>
      </c>
    </row>
    <row r="21" spans="1:2">
      <c r="A21" s="4"/>
      <c r="B21" s="3"/>
    </row>
    <row r="22" spans="1:2" ht="30">
      <c r="A22" s="6" t="s">
        <v>31</v>
      </c>
      <c r="B22" s="7" t="s">
        <v>32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4749-E0BB-4509-8A53-57B0F41D7C8B}">
  <dimension ref="A1:B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6.7109375" customWidth="1"/>
    <col min="2" max="2" width="16.7109375" customWidth="1"/>
  </cols>
  <sheetData>
    <row r="1" spans="1:2" ht="36" customHeight="1">
      <c r="A1" s="32" t="s">
        <v>33</v>
      </c>
      <c r="B1" s="32"/>
    </row>
    <row r="2" spans="1:2">
      <c r="A2" s="21" t="s">
        <v>34</v>
      </c>
      <c r="B2" s="21" t="s">
        <v>35</v>
      </c>
    </row>
    <row r="3" spans="1:2">
      <c r="A3" s="1" t="s">
        <v>36</v>
      </c>
      <c r="B3" s="22">
        <f>SUM(Licences!C3:C14)</f>
        <v>600</v>
      </c>
    </row>
    <row r="4" spans="1:2">
      <c r="A4" s="24" t="s">
        <v>37</v>
      </c>
      <c r="B4" s="25">
        <f>SUM(Licences!E3:E14)</f>
        <v>120</v>
      </c>
    </row>
    <row r="5" spans="1:2">
      <c r="A5" s="1" t="s">
        <v>38</v>
      </c>
      <c r="B5" s="22">
        <f>SUM(Licences!F3:F14)</f>
        <v>260</v>
      </c>
    </row>
    <row r="6" spans="1:2">
      <c r="A6" s="24" t="s">
        <v>39</v>
      </c>
      <c r="B6" s="26">
        <f>IF(B3=0,0,B5/B3)</f>
        <v>0.43333333333333335</v>
      </c>
    </row>
    <row r="7" spans="1:2">
      <c r="A7" s="1" t="s">
        <v>40</v>
      </c>
      <c r="B7" s="22">
        <f>Usage!H10</f>
        <v>108</v>
      </c>
    </row>
    <row r="8" spans="1:2">
      <c r="A8" s="24" t="s">
        <v>41</v>
      </c>
      <c r="B8" s="25">
        <f>Usage!H3</f>
        <v>78</v>
      </c>
    </row>
    <row r="9" spans="1:2">
      <c r="A9" s="1" t="s">
        <v>42</v>
      </c>
      <c r="B9" s="22">
        <f>COUNTA('SharePoint oversharing'!A3:A62)</f>
        <v>60</v>
      </c>
    </row>
    <row r="10" spans="1:2">
      <c r="A10" s="28" t="s">
        <v>43</v>
      </c>
      <c r="B10" s="29">
        <f>COUNTIFS('SharePoint oversharing'!J3:J62,"Yes")</f>
        <v>37</v>
      </c>
    </row>
    <row r="11" spans="1:2">
      <c r="A11" s="1" t="s">
        <v>44</v>
      </c>
      <c r="B11" s="22">
        <f>SUMIFS('SharePoint oversharing'!H3:H62,'SharePoint oversharing'!J3:J62,"Yes")</f>
        <v>152740</v>
      </c>
    </row>
    <row r="12" spans="1:2">
      <c r="A12" s="24" t="s">
        <v>45</v>
      </c>
      <c r="B12" s="25">
        <f>COUNTIFS('SharePoint oversharing'!E3:E62,"&lt;&gt;None")</f>
        <v>0</v>
      </c>
    </row>
    <row r="13" spans="1:2">
      <c r="A13" s="1" t="s">
        <v>46</v>
      </c>
      <c r="B13" s="22">
        <f>COUNTA('Pilot survey'!A3:A122)</f>
        <v>120</v>
      </c>
    </row>
    <row r="14" spans="1:2">
      <c r="A14" s="24" t="s">
        <v>47</v>
      </c>
      <c r="B14" s="27">
        <f>AVERAGE('Pilot survey'!E3:E122)</f>
        <v>3.8166666666666669</v>
      </c>
    </row>
    <row r="15" spans="1:2">
      <c r="A15" s="1" t="s">
        <v>48</v>
      </c>
      <c r="B15" s="23">
        <f>IF(B13=0,0,COUNTIFS('Pilot survey'!E3:E122,"&gt;=4")/B13)</f>
        <v>0.65833333333333333</v>
      </c>
    </row>
    <row r="16" spans="1:2">
      <c r="A16" s="24" t="s">
        <v>49</v>
      </c>
      <c r="B16" s="25">
        <f>AVERAGE('Pilot survey'!F3:F122)</f>
        <v>75.958333333333329</v>
      </c>
    </row>
    <row r="17" spans="1:2">
      <c r="A17" s="1" t="s">
        <v>50</v>
      </c>
      <c r="B17" s="23">
        <f>'Training completion'!G7</f>
        <v>0.52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58D1-9550-43E5-BFC3-1D615B7C40C1}">
  <dimension ref="A1:G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3" width="12.7109375" customWidth="1"/>
    <col min="4" max="4" width="14.7109375" customWidth="1"/>
    <col min="5" max="5" width="10.7109375" customWidth="1"/>
    <col min="6" max="6" width="16.7109375" customWidth="1"/>
    <col min="7" max="7" width="12.7109375" customWidth="1"/>
  </cols>
  <sheetData>
    <row r="1" spans="1:7" ht="24" customHeight="1">
      <c r="A1" s="33" t="s">
        <v>51</v>
      </c>
      <c r="B1" s="33"/>
      <c r="C1" s="33"/>
      <c r="D1" s="33"/>
      <c r="E1" s="33"/>
      <c r="F1" s="33"/>
      <c r="G1" s="33"/>
    </row>
    <row r="2" spans="1:7" ht="32.25" customHeight="1">
      <c r="A2" s="9" t="s">
        <v>52</v>
      </c>
      <c r="B2" s="9" t="s">
        <v>53</v>
      </c>
      <c r="C2" s="9" t="s">
        <v>54</v>
      </c>
      <c r="D2" s="9" t="s">
        <v>55</v>
      </c>
      <c r="E2" s="9" t="s">
        <v>37</v>
      </c>
      <c r="F2" s="9" t="s">
        <v>56</v>
      </c>
      <c r="G2" s="9" t="s">
        <v>57</v>
      </c>
    </row>
    <row r="3" spans="1:7">
      <c r="A3" s="2" t="s">
        <v>58</v>
      </c>
      <c r="B3" s="10">
        <v>140</v>
      </c>
      <c r="C3" s="10">
        <v>95</v>
      </c>
      <c r="D3" s="11">
        <f t="shared" ref="D3" si="0">IF(B3=0,0,C3/B3)</f>
        <v>0.6785714285714286</v>
      </c>
      <c r="E3" s="10">
        <v>25</v>
      </c>
      <c r="F3" s="10">
        <v>45</v>
      </c>
      <c r="G3" s="11">
        <f t="shared" ref="G3" si="1">IF(C3=0,0,F3/C3)</f>
        <v>0.47368421052631576</v>
      </c>
    </row>
    <row r="4" spans="1:7">
      <c r="A4" s="2" t="s">
        <v>59</v>
      </c>
      <c r="B4" s="10">
        <v>210</v>
      </c>
      <c r="C4" s="10">
        <v>110</v>
      </c>
      <c r="D4" s="11">
        <f t="shared" ref="D4:D14" si="2">IF(B4=0,0,C4/B4)</f>
        <v>0.52380952380952384</v>
      </c>
      <c r="E4" s="10">
        <v>30</v>
      </c>
      <c r="F4" s="10">
        <v>52</v>
      </c>
      <c r="G4" s="11">
        <f t="shared" ref="G4:G14" si="3">IF(C4=0,0,F4/C4)</f>
        <v>0.47272727272727272</v>
      </c>
    </row>
    <row r="5" spans="1:7">
      <c r="A5" s="2" t="s">
        <v>60</v>
      </c>
      <c r="B5" s="10">
        <v>1150</v>
      </c>
      <c r="C5" s="10">
        <v>80</v>
      </c>
      <c r="D5" s="11">
        <f t="shared" si="2"/>
        <v>6.9565217391304349E-2</v>
      </c>
      <c r="E5" s="10">
        <v>20</v>
      </c>
      <c r="F5" s="10">
        <v>37</v>
      </c>
      <c r="G5" s="11">
        <f t="shared" si="3"/>
        <v>0.46250000000000002</v>
      </c>
    </row>
    <row r="6" spans="1:7">
      <c r="A6" s="2" t="s">
        <v>61</v>
      </c>
      <c r="B6" s="10">
        <v>320</v>
      </c>
      <c r="C6" s="10">
        <v>75</v>
      </c>
      <c r="D6" s="11">
        <f t="shared" si="2"/>
        <v>0.234375</v>
      </c>
      <c r="E6" s="10">
        <v>12</v>
      </c>
      <c r="F6" s="10">
        <v>31</v>
      </c>
      <c r="G6" s="11">
        <f t="shared" si="3"/>
        <v>0.41333333333333333</v>
      </c>
    </row>
    <row r="7" spans="1:7">
      <c r="A7" s="2" t="s">
        <v>62</v>
      </c>
      <c r="B7" s="10">
        <v>120</v>
      </c>
      <c r="C7" s="10">
        <v>70</v>
      </c>
      <c r="D7" s="11">
        <f t="shared" si="2"/>
        <v>0.58333333333333337</v>
      </c>
      <c r="E7" s="10">
        <v>10</v>
      </c>
      <c r="F7" s="10">
        <v>28</v>
      </c>
      <c r="G7" s="11">
        <f t="shared" si="3"/>
        <v>0.4</v>
      </c>
    </row>
    <row r="8" spans="1:7">
      <c r="A8" s="2" t="s">
        <v>63</v>
      </c>
      <c r="B8" s="10">
        <v>60</v>
      </c>
      <c r="C8" s="10">
        <v>35</v>
      </c>
      <c r="D8" s="11">
        <f t="shared" si="2"/>
        <v>0.58333333333333337</v>
      </c>
      <c r="E8" s="10">
        <v>6</v>
      </c>
      <c r="F8" s="10">
        <v>15</v>
      </c>
      <c r="G8" s="11">
        <f t="shared" si="3"/>
        <v>0.42857142857142855</v>
      </c>
    </row>
    <row r="9" spans="1:7">
      <c r="A9" s="2" t="s">
        <v>64</v>
      </c>
      <c r="B9" s="10">
        <v>70</v>
      </c>
      <c r="C9" s="10">
        <v>45</v>
      </c>
      <c r="D9" s="11">
        <f t="shared" si="2"/>
        <v>0.6428571428571429</v>
      </c>
      <c r="E9" s="10">
        <v>8</v>
      </c>
      <c r="F9" s="10">
        <v>19</v>
      </c>
      <c r="G9" s="11">
        <f t="shared" si="3"/>
        <v>0.42222222222222222</v>
      </c>
    </row>
    <row r="10" spans="1:7">
      <c r="A10" s="2" t="s">
        <v>65</v>
      </c>
      <c r="B10" s="10">
        <v>50</v>
      </c>
      <c r="C10" s="10">
        <v>25</v>
      </c>
      <c r="D10" s="11">
        <f t="shared" si="2"/>
        <v>0.5</v>
      </c>
      <c r="E10" s="10">
        <v>4</v>
      </c>
      <c r="F10" s="10">
        <v>10</v>
      </c>
      <c r="G10" s="11">
        <f t="shared" si="3"/>
        <v>0.4</v>
      </c>
    </row>
    <row r="11" spans="1:7">
      <c r="A11" s="2" t="s">
        <v>66</v>
      </c>
      <c r="B11" s="10">
        <v>25</v>
      </c>
      <c r="C11" s="10">
        <v>15</v>
      </c>
      <c r="D11" s="11">
        <f t="shared" si="2"/>
        <v>0.6</v>
      </c>
      <c r="E11" s="10">
        <v>2</v>
      </c>
      <c r="F11" s="10">
        <v>6</v>
      </c>
      <c r="G11" s="11">
        <f t="shared" si="3"/>
        <v>0.4</v>
      </c>
    </row>
    <row r="12" spans="1:7">
      <c r="A12" s="2" t="s">
        <v>67</v>
      </c>
      <c r="B12" s="10">
        <v>15</v>
      </c>
      <c r="C12" s="10">
        <v>15</v>
      </c>
      <c r="D12" s="11">
        <f t="shared" si="2"/>
        <v>1</v>
      </c>
      <c r="E12" s="10">
        <v>3</v>
      </c>
      <c r="F12" s="10">
        <v>6</v>
      </c>
      <c r="G12" s="11">
        <f t="shared" si="3"/>
        <v>0.4</v>
      </c>
    </row>
    <row r="13" spans="1:7">
      <c r="A13" s="2" t="s">
        <v>68</v>
      </c>
      <c r="B13" s="10">
        <v>30</v>
      </c>
      <c r="C13" s="10">
        <v>15</v>
      </c>
      <c r="D13" s="11">
        <f t="shared" si="2"/>
        <v>0.5</v>
      </c>
      <c r="E13" s="10">
        <v>0</v>
      </c>
      <c r="F13" s="10">
        <v>5</v>
      </c>
      <c r="G13" s="11">
        <f t="shared" si="3"/>
        <v>0.33333333333333331</v>
      </c>
    </row>
    <row r="14" spans="1:7">
      <c r="A14" s="2" t="s">
        <v>69</v>
      </c>
      <c r="B14" s="10">
        <v>110</v>
      </c>
      <c r="C14" s="10">
        <v>20</v>
      </c>
      <c r="D14" s="11">
        <f t="shared" si="2"/>
        <v>0.18181818181818182</v>
      </c>
      <c r="E14" s="10">
        <v>0</v>
      </c>
      <c r="F14" s="10">
        <v>6</v>
      </c>
      <c r="G14" s="11">
        <f t="shared" si="3"/>
        <v>0.3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941A-20CE-4158-B962-D7E61D560594}">
  <dimension ref="A1:J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5" width="10.7109375" customWidth="1"/>
    <col min="6" max="6" width="12.7109375" customWidth="1"/>
    <col min="7" max="7" width="13.7109375" customWidth="1"/>
    <col min="8" max="8" width="15.7109375" customWidth="1"/>
    <col min="9" max="9" width="11.7109375" customWidth="1"/>
    <col min="10" max="10" width="14.7109375" customWidth="1"/>
  </cols>
  <sheetData>
    <row r="1" spans="1:10" ht="24" customHeight="1">
      <c r="A1" s="33" t="s">
        <v>70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2.25" customHeight="1">
      <c r="A2" s="9" t="s">
        <v>71</v>
      </c>
      <c r="B2" s="9" t="s">
        <v>72</v>
      </c>
      <c r="C2" s="9" t="s">
        <v>73</v>
      </c>
      <c r="D2" s="9" t="s">
        <v>74</v>
      </c>
      <c r="E2" s="9" t="s">
        <v>75</v>
      </c>
      <c r="F2" s="9" t="s">
        <v>76</v>
      </c>
      <c r="G2" s="9" t="s">
        <v>77</v>
      </c>
      <c r="H2" s="9" t="s">
        <v>78</v>
      </c>
      <c r="I2" s="9" t="s">
        <v>37</v>
      </c>
      <c r="J2" s="9" t="s">
        <v>79</v>
      </c>
    </row>
    <row r="3" spans="1:10">
      <c r="A3" s="12">
        <v>46258</v>
      </c>
      <c r="B3" s="10">
        <v>62</v>
      </c>
      <c r="C3" s="10">
        <v>55</v>
      </c>
      <c r="D3" s="10">
        <v>30</v>
      </c>
      <c r="E3" s="10">
        <v>18</v>
      </c>
      <c r="F3" s="10">
        <v>12</v>
      </c>
      <c r="G3" s="10">
        <v>48</v>
      </c>
      <c r="H3" s="10">
        <v>78</v>
      </c>
      <c r="I3" s="10">
        <v>120</v>
      </c>
      <c r="J3" s="11">
        <f t="shared" ref="J3" si="0">IF(I3=0,0,H3/I3)</f>
        <v>0.65</v>
      </c>
    </row>
    <row r="4" spans="1:10">
      <c r="A4" s="12">
        <v>46265</v>
      </c>
      <c r="B4" s="10">
        <v>66</v>
      </c>
      <c r="C4" s="10">
        <v>61</v>
      </c>
      <c r="D4" s="10">
        <v>37</v>
      </c>
      <c r="E4" s="10">
        <v>24</v>
      </c>
      <c r="F4" s="10">
        <v>13</v>
      </c>
      <c r="G4" s="10">
        <v>54</v>
      </c>
      <c r="H4" s="10">
        <v>84</v>
      </c>
      <c r="I4" s="10">
        <v>120</v>
      </c>
      <c r="J4" s="11">
        <f t="shared" ref="J4:J10" si="1">IF(I4=0,0,H4/I4)</f>
        <v>0.7</v>
      </c>
    </row>
    <row r="5" spans="1:10">
      <c r="A5" s="12">
        <v>46272</v>
      </c>
      <c r="B5" s="10">
        <v>76</v>
      </c>
      <c r="C5" s="10">
        <v>69</v>
      </c>
      <c r="D5" s="10">
        <v>41</v>
      </c>
      <c r="E5" s="10">
        <v>26</v>
      </c>
      <c r="F5" s="10">
        <v>20</v>
      </c>
      <c r="G5" s="10">
        <v>63</v>
      </c>
      <c r="H5" s="10">
        <v>89</v>
      </c>
      <c r="I5" s="10">
        <v>120</v>
      </c>
      <c r="J5" s="11">
        <f t="shared" si="1"/>
        <v>0.7416666666666667</v>
      </c>
    </row>
    <row r="6" spans="1:10">
      <c r="A6" s="12">
        <v>46279</v>
      </c>
      <c r="B6" s="10">
        <v>80</v>
      </c>
      <c r="C6" s="10">
        <v>74</v>
      </c>
      <c r="D6" s="10">
        <v>44</v>
      </c>
      <c r="E6" s="10">
        <v>28</v>
      </c>
      <c r="F6" s="10">
        <v>18</v>
      </c>
      <c r="G6" s="10">
        <v>69</v>
      </c>
      <c r="H6" s="10">
        <v>93</v>
      </c>
      <c r="I6" s="10">
        <v>120</v>
      </c>
      <c r="J6" s="11">
        <f t="shared" si="1"/>
        <v>0.77500000000000002</v>
      </c>
    </row>
    <row r="7" spans="1:10">
      <c r="A7" s="12">
        <v>46286</v>
      </c>
      <c r="B7" s="10">
        <v>82</v>
      </c>
      <c r="C7" s="10">
        <v>75</v>
      </c>
      <c r="D7" s="10">
        <v>47</v>
      </c>
      <c r="E7" s="10">
        <v>30</v>
      </c>
      <c r="F7" s="10">
        <v>23</v>
      </c>
      <c r="G7" s="10">
        <v>70</v>
      </c>
      <c r="H7" s="10">
        <v>97</v>
      </c>
      <c r="I7" s="10">
        <v>120</v>
      </c>
      <c r="J7" s="11">
        <f t="shared" si="1"/>
        <v>0.80833333333333335</v>
      </c>
    </row>
    <row r="8" spans="1:10">
      <c r="A8" s="12">
        <v>46293</v>
      </c>
      <c r="B8" s="10">
        <v>90</v>
      </c>
      <c r="C8" s="10">
        <v>82</v>
      </c>
      <c r="D8" s="10">
        <v>50</v>
      </c>
      <c r="E8" s="10">
        <v>36</v>
      </c>
      <c r="F8" s="10">
        <v>25</v>
      </c>
      <c r="G8" s="10">
        <v>78</v>
      </c>
      <c r="H8" s="10">
        <v>101</v>
      </c>
      <c r="I8" s="10">
        <v>120</v>
      </c>
      <c r="J8" s="11">
        <f t="shared" si="1"/>
        <v>0.84166666666666667</v>
      </c>
    </row>
    <row r="9" spans="1:10">
      <c r="A9" s="12">
        <v>46300</v>
      </c>
      <c r="B9" s="10">
        <v>93</v>
      </c>
      <c r="C9" s="10">
        <v>88</v>
      </c>
      <c r="D9" s="10">
        <v>56</v>
      </c>
      <c r="E9" s="10">
        <v>36</v>
      </c>
      <c r="F9" s="10">
        <v>27</v>
      </c>
      <c r="G9" s="10">
        <v>81</v>
      </c>
      <c r="H9" s="10">
        <v>104</v>
      </c>
      <c r="I9" s="10">
        <v>120</v>
      </c>
      <c r="J9" s="11">
        <f t="shared" si="1"/>
        <v>0.8666666666666667</v>
      </c>
    </row>
    <row r="10" spans="1:10">
      <c r="A10" s="12">
        <v>46307</v>
      </c>
      <c r="B10" s="10">
        <v>98</v>
      </c>
      <c r="C10" s="10">
        <v>92</v>
      </c>
      <c r="D10" s="10">
        <v>58</v>
      </c>
      <c r="E10" s="10">
        <v>41</v>
      </c>
      <c r="F10" s="10">
        <v>29</v>
      </c>
      <c r="G10" s="10">
        <v>88</v>
      </c>
      <c r="H10" s="10">
        <v>108</v>
      </c>
      <c r="I10" s="10">
        <v>120</v>
      </c>
      <c r="J10" s="11">
        <f t="shared" si="1"/>
        <v>0.9</v>
      </c>
    </row>
  </sheetData>
  <mergeCells count="1">
    <mergeCell ref="A1:J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B20E-B906-47D2-BCD7-6CD13EFCADA8}">
  <dimension ref="A1:J6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0.7109375" customWidth="1"/>
    <col min="2" max="2" width="66.7109375" customWidth="1"/>
    <col min="3" max="3" width="16.7109375" customWidth="1"/>
    <col min="4" max="4" width="18.7109375" customWidth="1"/>
    <col min="5" max="5" width="12.7109375" customWidth="1"/>
    <col min="6" max="6" width="18.7109375" customWidth="1"/>
    <col min="7" max="7" width="14.7109375" customWidth="1"/>
    <col min="8" max="8" width="11.7109375" customWidth="1"/>
    <col min="9" max="9" width="13.7109375" customWidth="1"/>
    <col min="10" max="10" width="10.7109375" customWidth="1"/>
  </cols>
  <sheetData>
    <row r="1" spans="1:10" ht="24" customHeight="1">
      <c r="A1" s="33" t="s">
        <v>80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2.25" customHeight="1">
      <c r="A2" s="9" t="s">
        <v>81</v>
      </c>
      <c r="B2" s="9" t="s">
        <v>82</v>
      </c>
      <c r="C2" s="9" t="s">
        <v>83</v>
      </c>
      <c r="D2" s="9" t="s">
        <v>52</v>
      </c>
      <c r="E2" s="9" t="s">
        <v>84</v>
      </c>
      <c r="F2" s="9" t="s">
        <v>85</v>
      </c>
      <c r="G2" s="9" t="s">
        <v>86</v>
      </c>
      <c r="H2" s="9" t="s">
        <v>87</v>
      </c>
      <c r="I2" s="9" t="s">
        <v>88</v>
      </c>
      <c r="J2" s="9" t="s">
        <v>89</v>
      </c>
    </row>
    <row r="3" spans="1:10">
      <c r="A3" s="2" t="s">
        <v>90</v>
      </c>
      <c r="B3" s="2" t="s">
        <v>91</v>
      </c>
      <c r="C3" s="2" t="s">
        <v>92</v>
      </c>
      <c r="D3" s="2" t="s">
        <v>63</v>
      </c>
      <c r="E3" s="13" t="s">
        <v>93</v>
      </c>
      <c r="F3" s="13" t="s">
        <v>94</v>
      </c>
      <c r="G3" s="13" t="s">
        <v>95</v>
      </c>
      <c r="H3" s="10">
        <v>4210</v>
      </c>
      <c r="I3" s="12">
        <v>46313</v>
      </c>
      <c r="J3" s="13" t="str">
        <f t="shared" ref="J3" si="0">IF(G3="Yes","Yes","No")</f>
        <v>Yes</v>
      </c>
    </row>
    <row r="4" spans="1:10">
      <c r="A4" s="2" t="s">
        <v>96</v>
      </c>
      <c r="B4" s="2" t="s">
        <v>97</v>
      </c>
      <c r="C4" s="2" t="s">
        <v>98</v>
      </c>
      <c r="D4" s="2" t="s">
        <v>99</v>
      </c>
      <c r="E4" s="13" t="s">
        <v>93</v>
      </c>
      <c r="F4" s="13" t="s">
        <v>94</v>
      </c>
      <c r="G4" s="13" t="s">
        <v>95</v>
      </c>
      <c r="H4" s="10">
        <v>1385</v>
      </c>
      <c r="I4" s="12">
        <v>46275</v>
      </c>
      <c r="J4" s="13" t="str">
        <f t="shared" ref="J4:J35" si="1">IF(G4="Yes","Yes","No")</f>
        <v>Yes</v>
      </c>
    </row>
    <row r="5" spans="1:10">
      <c r="A5" s="2" t="s">
        <v>100</v>
      </c>
      <c r="B5" s="2" t="s">
        <v>101</v>
      </c>
      <c r="C5" s="2" t="s">
        <v>92</v>
      </c>
      <c r="D5" s="2" t="s">
        <v>63</v>
      </c>
      <c r="E5" s="13" t="s">
        <v>93</v>
      </c>
      <c r="F5" s="13" t="s">
        <v>94</v>
      </c>
      <c r="G5" s="13" t="s">
        <v>95</v>
      </c>
      <c r="H5" s="10">
        <v>2650</v>
      </c>
      <c r="I5" s="12">
        <v>46300</v>
      </c>
      <c r="J5" s="13" t="str">
        <f t="shared" si="1"/>
        <v>Yes</v>
      </c>
    </row>
    <row r="6" spans="1:10">
      <c r="A6" s="2" t="s">
        <v>102</v>
      </c>
      <c r="B6" s="2" t="s">
        <v>103</v>
      </c>
      <c r="C6" s="2" t="s">
        <v>92</v>
      </c>
      <c r="D6" s="2" t="s">
        <v>63</v>
      </c>
      <c r="E6" s="13" t="s">
        <v>93</v>
      </c>
      <c r="F6" s="13" t="s">
        <v>94</v>
      </c>
      <c r="G6" s="13" t="s">
        <v>104</v>
      </c>
      <c r="H6" s="10">
        <v>320</v>
      </c>
      <c r="I6" s="12">
        <v>46308</v>
      </c>
      <c r="J6" s="13" t="str">
        <f t="shared" si="1"/>
        <v>No</v>
      </c>
    </row>
    <row r="7" spans="1:10">
      <c r="A7" s="2" t="s">
        <v>105</v>
      </c>
      <c r="B7" s="2" t="s">
        <v>106</v>
      </c>
      <c r="C7" s="2" t="s">
        <v>92</v>
      </c>
      <c r="D7" s="2" t="s">
        <v>63</v>
      </c>
      <c r="E7" s="13" t="s">
        <v>93</v>
      </c>
      <c r="F7" s="13" t="s">
        <v>107</v>
      </c>
      <c r="G7" s="13" t="s">
        <v>95</v>
      </c>
      <c r="H7" s="10">
        <v>890</v>
      </c>
      <c r="I7" s="12">
        <v>46305</v>
      </c>
      <c r="J7" s="13" t="str">
        <f t="shared" si="1"/>
        <v>Yes</v>
      </c>
    </row>
    <row r="8" spans="1:10">
      <c r="A8" s="2" t="s">
        <v>108</v>
      </c>
      <c r="B8" s="2" t="s">
        <v>109</v>
      </c>
      <c r="C8" s="2" t="s">
        <v>92</v>
      </c>
      <c r="D8" s="2" t="s">
        <v>63</v>
      </c>
      <c r="E8" s="13" t="s">
        <v>93</v>
      </c>
      <c r="F8" s="13" t="s">
        <v>94</v>
      </c>
      <c r="G8" s="13" t="s">
        <v>95</v>
      </c>
      <c r="H8" s="10">
        <v>1740</v>
      </c>
      <c r="I8" s="12">
        <v>46262</v>
      </c>
      <c r="J8" s="13" t="str">
        <f t="shared" si="1"/>
        <v>Yes</v>
      </c>
    </row>
    <row r="9" spans="1:10">
      <c r="A9" s="2" t="s">
        <v>110</v>
      </c>
      <c r="B9" s="2" t="s">
        <v>111</v>
      </c>
      <c r="C9" s="2" t="s">
        <v>112</v>
      </c>
      <c r="D9" s="2" t="s">
        <v>58</v>
      </c>
      <c r="E9" s="13" t="s">
        <v>93</v>
      </c>
      <c r="F9" s="13" t="s">
        <v>94</v>
      </c>
      <c r="G9" s="13" t="s">
        <v>95</v>
      </c>
      <c r="H9" s="10">
        <v>15820</v>
      </c>
      <c r="I9" s="12">
        <v>46307</v>
      </c>
      <c r="J9" s="13" t="str">
        <f t="shared" si="1"/>
        <v>Yes</v>
      </c>
    </row>
    <row r="10" spans="1:10">
      <c r="A10" s="2" t="s">
        <v>113</v>
      </c>
      <c r="B10" s="2" t="s">
        <v>114</v>
      </c>
      <c r="C10" s="2" t="s">
        <v>112</v>
      </c>
      <c r="D10" s="2" t="s">
        <v>58</v>
      </c>
      <c r="E10" s="13" t="s">
        <v>93</v>
      </c>
      <c r="F10" s="13" t="s">
        <v>94</v>
      </c>
      <c r="G10" s="13" t="s">
        <v>95</v>
      </c>
      <c r="H10" s="10">
        <v>12460</v>
      </c>
      <c r="I10" s="12">
        <v>46280</v>
      </c>
      <c r="J10" s="13" t="str">
        <f t="shared" si="1"/>
        <v>Yes</v>
      </c>
    </row>
    <row r="11" spans="1:10">
      <c r="A11" s="2" t="s">
        <v>115</v>
      </c>
      <c r="B11" s="2" t="s">
        <v>116</v>
      </c>
      <c r="C11" s="2" t="s">
        <v>112</v>
      </c>
      <c r="D11" s="2" t="s">
        <v>58</v>
      </c>
      <c r="E11" s="13" t="s">
        <v>93</v>
      </c>
      <c r="F11" s="13" t="s">
        <v>107</v>
      </c>
      <c r="G11" s="13" t="s">
        <v>95</v>
      </c>
      <c r="H11" s="10">
        <v>3105</v>
      </c>
      <c r="I11" s="12">
        <v>46298</v>
      </c>
      <c r="J11" s="13" t="str">
        <f t="shared" si="1"/>
        <v>Yes</v>
      </c>
    </row>
    <row r="12" spans="1:10">
      <c r="A12" s="2" t="s">
        <v>117</v>
      </c>
      <c r="B12" s="2" t="s">
        <v>118</v>
      </c>
      <c r="C12" s="2" t="s">
        <v>112</v>
      </c>
      <c r="D12" s="2" t="s">
        <v>58</v>
      </c>
      <c r="E12" s="13" t="s">
        <v>93</v>
      </c>
      <c r="F12" s="13" t="s">
        <v>94</v>
      </c>
      <c r="G12" s="13" t="s">
        <v>95</v>
      </c>
      <c r="H12" s="10">
        <v>2290</v>
      </c>
      <c r="I12" s="12">
        <v>46309</v>
      </c>
      <c r="J12" s="13" t="str">
        <f t="shared" si="1"/>
        <v>Yes</v>
      </c>
    </row>
    <row r="13" spans="1:10">
      <c r="A13" s="2" t="s">
        <v>119</v>
      </c>
      <c r="B13" s="2" t="s">
        <v>120</v>
      </c>
      <c r="C13" s="2" t="s">
        <v>112</v>
      </c>
      <c r="D13" s="2" t="s">
        <v>58</v>
      </c>
      <c r="E13" s="13" t="s">
        <v>93</v>
      </c>
      <c r="F13" s="13" t="s">
        <v>121</v>
      </c>
      <c r="G13" s="13" t="s">
        <v>104</v>
      </c>
      <c r="H13" s="10">
        <v>410</v>
      </c>
      <c r="I13" s="12">
        <v>46313</v>
      </c>
      <c r="J13" s="13" t="str">
        <f t="shared" si="1"/>
        <v>No</v>
      </c>
    </row>
    <row r="14" spans="1:10">
      <c r="A14" s="2" t="s">
        <v>122</v>
      </c>
      <c r="B14" s="2" t="s">
        <v>123</v>
      </c>
      <c r="C14" s="2" t="s">
        <v>112</v>
      </c>
      <c r="D14" s="2" t="s">
        <v>58</v>
      </c>
      <c r="E14" s="13" t="s">
        <v>93</v>
      </c>
      <c r="F14" s="13" t="s">
        <v>94</v>
      </c>
      <c r="G14" s="13" t="s">
        <v>95</v>
      </c>
      <c r="H14" s="10">
        <v>8930</v>
      </c>
      <c r="I14" s="12">
        <v>46312</v>
      </c>
      <c r="J14" s="13" t="str">
        <f t="shared" si="1"/>
        <v>Yes</v>
      </c>
    </row>
    <row r="15" spans="1:10">
      <c r="A15" s="2" t="s">
        <v>124</v>
      </c>
      <c r="B15" s="2" t="s">
        <v>125</v>
      </c>
      <c r="C15" s="2" t="s">
        <v>112</v>
      </c>
      <c r="D15" s="2" t="s">
        <v>58</v>
      </c>
      <c r="E15" s="13" t="s">
        <v>93</v>
      </c>
      <c r="F15" s="13" t="s">
        <v>94</v>
      </c>
      <c r="G15" s="13" t="s">
        <v>95</v>
      </c>
      <c r="H15" s="10">
        <v>1120</v>
      </c>
      <c r="I15" s="12">
        <v>46311</v>
      </c>
      <c r="J15" s="13" t="str">
        <f t="shared" si="1"/>
        <v>Yes</v>
      </c>
    </row>
    <row r="16" spans="1:10">
      <c r="A16" s="2" t="s">
        <v>126</v>
      </c>
      <c r="B16" s="2" t="s">
        <v>127</v>
      </c>
      <c r="C16" s="2" t="s">
        <v>112</v>
      </c>
      <c r="D16" s="2" t="s">
        <v>58</v>
      </c>
      <c r="E16" s="13" t="s">
        <v>93</v>
      </c>
      <c r="F16" s="13" t="s">
        <v>107</v>
      </c>
      <c r="G16" s="13" t="s">
        <v>95</v>
      </c>
      <c r="H16" s="10">
        <v>2470</v>
      </c>
      <c r="I16" s="12">
        <v>46312</v>
      </c>
      <c r="J16" s="13" t="str">
        <f t="shared" si="1"/>
        <v>Yes</v>
      </c>
    </row>
    <row r="17" spans="1:10">
      <c r="A17" s="2" t="s">
        <v>128</v>
      </c>
      <c r="B17" s="2" t="s">
        <v>129</v>
      </c>
      <c r="C17" s="2" t="s">
        <v>112</v>
      </c>
      <c r="D17" s="2" t="s">
        <v>58</v>
      </c>
      <c r="E17" s="13" t="s">
        <v>93</v>
      </c>
      <c r="F17" s="13" t="s">
        <v>121</v>
      </c>
      <c r="G17" s="13" t="s">
        <v>104</v>
      </c>
      <c r="H17" s="10">
        <v>960</v>
      </c>
      <c r="I17" s="12">
        <v>46293</v>
      </c>
      <c r="J17" s="13" t="str">
        <f t="shared" si="1"/>
        <v>No</v>
      </c>
    </row>
    <row r="18" spans="1:10">
      <c r="A18" s="2" t="s">
        <v>130</v>
      </c>
      <c r="B18" s="2" t="s">
        <v>131</v>
      </c>
      <c r="C18" s="2" t="s">
        <v>98</v>
      </c>
      <c r="D18" s="2" t="s">
        <v>99</v>
      </c>
      <c r="E18" s="13" t="s">
        <v>93</v>
      </c>
      <c r="F18" s="13" t="s">
        <v>107</v>
      </c>
      <c r="G18" s="13" t="s">
        <v>95</v>
      </c>
      <c r="H18" s="10">
        <v>640</v>
      </c>
      <c r="I18" s="12">
        <v>46310</v>
      </c>
      <c r="J18" s="13" t="str">
        <f t="shared" si="1"/>
        <v>Yes</v>
      </c>
    </row>
    <row r="19" spans="1:10">
      <c r="A19" s="2" t="s">
        <v>132</v>
      </c>
      <c r="B19" s="2" t="s">
        <v>133</v>
      </c>
      <c r="C19" s="2" t="s">
        <v>98</v>
      </c>
      <c r="D19" s="2" t="s">
        <v>99</v>
      </c>
      <c r="E19" s="13" t="s">
        <v>93</v>
      </c>
      <c r="F19" s="13" t="s">
        <v>121</v>
      </c>
      <c r="G19" s="13" t="s">
        <v>104</v>
      </c>
      <c r="H19" s="10">
        <v>215</v>
      </c>
      <c r="I19" s="12">
        <v>46312</v>
      </c>
      <c r="J19" s="13" t="str">
        <f t="shared" si="1"/>
        <v>No</v>
      </c>
    </row>
    <row r="20" spans="1:10">
      <c r="A20" s="2" t="s">
        <v>134</v>
      </c>
      <c r="B20" s="2" t="s">
        <v>135</v>
      </c>
      <c r="C20" s="2" t="s">
        <v>98</v>
      </c>
      <c r="D20" s="2" t="s">
        <v>99</v>
      </c>
      <c r="E20" s="13" t="s">
        <v>93</v>
      </c>
      <c r="F20" s="13" t="s">
        <v>94</v>
      </c>
      <c r="G20" s="13" t="s">
        <v>95</v>
      </c>
      <c r="H20" s="10">
        <v>1530</v>
      </c>
      <c r="I20" s="12">
        <v>46253</v>
      </c>
      <c r="J20" s="13" t="str">
        <f t="shared" si="1"/>
        <v>Yes</v>
      </c>
    </row>
    <row r="21" spans="1:10">
      <c r="A21" s="2" t="s">
        <v>136</v>
      </c>
      <c r="B21" s="2" t="s">
        <v>137</v>
      </c>
      <c r="C21" s="2" t="s">
        <v>138</v>
      </c>
      <c r="D21" s="2" t="s">
        <v>64</v>
      </c>
      <c r="E21" s="13" t="s">
        <v>93</v>
      </c>
      <c r="F21" s="13" t="s">
        <v>94</v>
      </c>
      <c r="G21" s="13" t="s">
        <v>95</v>
      </c>
      <c r="H21" s="10">
        <v>5320</v>
      </c>
      <c r="I21" s="12">
        <v>46290</v>
      </c>
      <c r="J21" s="13" t="str">
        <f t="shared" si="1"/>
        <v>Yes</v>
      </c>
    </row>
    <row r="22" spans="1:10">
      <c r="A22" s="2" t="s">
        <v>139</v>
      </c>
      <c r="B22" s="2" t="s">
        <v>140</v>
      </c>
      <c r="C22" s="2" t="s">
        <v>138</v>
      </c>
      <c r="D22" s="2" t="s">
        <v>64</v>
      </c>
      <c r="E22" s="13" t="s">
        <v>93</v>
      </c>
      <c r="F22" s="13" t="s">
        <v>107</v>
      </c>
      <c r="G22" s="13" t="s">
        <v>104</v>
      </c>
      <c r="H22" s="10">
        <v>1870</v>
      </c>
      <c r="I22" s="12">
        <v>46292</v>
      </c>
      <c r="J22" s="13" t="str">
        <f t="shared" si="1"/>
        <v>No</v>
      </c>
    </row>
    <row r="23" spans="1:10">
      <c r="A23" s="2" t="s">
        <v>141</v>
      </c>
      <c r="B23" s="2" t="s">
        <v>142</v>
      </c>
      <c r="C23" s="2" t="s">
        <v>138</v>
      </c>
      <c r="D23" s="2" t="s">
        <v>64</v>
      </c>
      <c r="E23" s="13" t="s">
        <v>93</v>
      </c>
      <c r="F23" s="13" t="s">
        <v>94</v>
      </c>
      <c r="G23" s="13" t="s">
        <v>104</v>
      </c>
      <c r="H23" s="10">
        <v>7410</v>
      </c>
      <c r="I23" s="12">
        <v>46257</v>
      </c>
      <c r="J23" s="13" t="str">
        <f t="shared" si="1"/>
        <v>No</v>
      </c>
    </row>
    <row r="24" spans="1:10">
      <c r="A24" s="2" t="s">
        <v>143</v>
      </c>
      <c r="B24" s="2" t="s">
        <v>144</v>
      </c>
      <c r="C24" s="2" t="s">
        <v>138</v>
      </c>
      <c r="D24" s="2" t="s">
        <v>64</v>
      </c>
      <c r="E24" s="13" t="s">
        <v>93</v>
      </c>
      <c r="F24" s="13" t="s">
        <v>94</v>
      </c>
      <c r="G24" s="13" t="s">
        <v>95</v>
      </c>
      <c r="H24" s="10">
        <v>780</v>
      </c>
      <c r="I24" s="12">
        <v>46313</v>
      </c>
      <c r="J24" s="13" t="str">
        <f t="shared" si="1"/>
        <v>Yes</v>
      </c>
    </row>
    <row r="25" spans="1:10">
      <c r="A25" s="2" t="s">
        <v>145</v>
      </c>
      <c r="B25" s="2" t="s">
        <v>146</v>
      </c>
      <c r="C25" s="2" t="s">
        <v>138</v>
      </c>
      <c r="D25" s="2" t="s">
        <v>64</v>
      </c>
      <c r="E25" s="13" t="s">
        <v>93</v>
      </c>
      <c r="F25" s="13" t="s">
        <v>107</v>
      </c>
      <c r="G25" s="13" t="s">
        <v>104</v>
      </c>
      <c r="H25" s="10">
        <v>2210</v>
      </c>
      <c r="I25" s="12">
        <v>46310</v>
      </c>
      <c r="J25" s="13" t="str">
        <f t="shared" si="1"/>
        <v>No</v>
      </c>
    </row>
    <row r="26" spans="1:10">
      <c r="A26" s="2" t="s">
        <v>147</v>
      </c>
      <c r="B26" s="2" t="s">
        <v>148</v>
      </c>
      <c r="C26" s="2" t="s">
        <v>149</v>
      </c>
      <c r="D26" s="2" t="s">
        <v>150</v>
      </c>
      <c r="E26" s="13" t="s">
        <v>93</v>
      </c>
      <c r="F26" s="13" t="s">
        <v>94</v>
      </c>
      <c r="G26" s="13" t="s">
        <v>95</v>
      </c>
      <c r="H26" s="10">
        <v>9650</v>
      </c>
      <c r="I26" s="12">
        <v>46300</v>
      </c>
      <c r="J26" s="13" t="str">
        <f t="shared" si="1"/>
        <v>Yes</v>
      </c>
    </row>
    <row r="27" spans="1:10">
      <c r="A27" s="2" t="s">
        <v>151</v>
      </c>
      <c r="B27" s="2" t="s">
        <v>152</v>
      </c>
      <c r="C27" s="2" t="s">
        <v>149</v>
      </c>
      <c r="D27" s="2" t="s">
        <v>150</v>
      </c>
      <c r="E27" s="13" t="s">
        <v>93</v>
      </c>
      <c r="F27" s="13" t="s">
        <v>94</v>
      </c>
      <c r="G27" s="13" t="s">
        <v>95</v>
      </c>
      <c r="H27" s="10">
        <v>6320</v>
      </c>
      <c r="I27" s="12">
        <v>46303</v>
      </c>
      <c r="J27" s="13" t="str">
        <f t="shared" si="1"/>
        <v>Yes</v>
      </c>
    </row>
    <row r="28" spans="1:10">
      <c r="A28" s="2" t="s">
        <v>153</v>
      </c>
      <c r="B28" s="2" t="s">
        <v>154</v>
      </c>
      <c r="C28" s="2" t="s">
        <v>149</v>
      </c>
      <c r="D28" s="2" t="s">
        <v>150</v>
      </c>
      <c r="E28" s="13" t="s">
        <v>93</v>
      </c>
      <c r="F28" s="13" t="s">
        <v>94</v>
      </c>
      <c r="G28" s="13" t="s">
        <v>104</v>
      </c>
      <c r="H28" s="10">
        <v>1430</v>
      </c>
      <c r="I28" s="12">
        <v>46255</v>
      </c>
      <c r="J28" s="13" t="str">
        <f t="shared" si="1"/>
        <v>No</v>
      </c>
    </row>
    <row r="29" spans="1:10">
      <c r="A29" s="2" t="s">
        <v>155</v>
      </c>
      <c r="B29" s="2" t="s">
        <v>156</v>
      </c>
      <c r="C29" s="2" t="s">
        <v>149</v>
      </c>
      <c r="D29" s="2" t="s">
        <v>150</v>
      </c>
      <c r="E29" s="13" t="s">
        <v>93</v>
      </c>
      <c r="F29" s="13" t="s">
        <v>94</v>
      </c>
      <c r="G29" s="13" t="s">
        <v>95</v>
      </c>
      <c r="H29" s="10">
        <v>3880</v>
      </c>
      <c r="I29" s="12">
        <v>46310</v>
      </c>
      <c r="J29" s="13" t="str">
        <f t="shared" si="1"/>
        <v>Yes</v>
      </c>
    </row>
    <row r="30" spans="1:10">
      <c r="A30" s="2" t="s">
        <v>157</v>
      </c>
      <c r="B30" s="2" t="s">
        <v>158</v>
      </c>
      <c r="C30" s="2" t="s">
        <v>149</v>
      </c>
      <c r="D30" s="2" t="s">
        <v>150</v>
      </c>
      <c r="E30" s="13" t="s">
        <v>93</v>
      </c>
      <c r="F30" s="13" t="s">
        <v>107</v>
      </c>
      <c r="G30" s="13" t="s">
        <v>104</v>
      </c>
      <c r="H30" s="10">
        <v>270</v>
      </c>
      <c r="I30" s="12">
        <v>46311</v>
      </c>
      <c r="J30" s="13" t="str">
        <f t="shared" si="1"/>
        <v>No</v>
      </c>
    </row>
    <row r="31" spans="1:10">
      <c r="A31" s="2" t="s">
        <v>159</v>
      </c>
      <c r="B31" s="2" t="s">
        <v>160</v>
      </c>
      <c r="C31" s="2" t="s">
        <v>161</v>
      </c>
      <c r="D31" s="2" t="s">
        <v>59</v>
      </c>
      <c r="E31" s="13" t="s">
        <v>93</v>
      </c>
      <c r="F31" s="13" t="s">
        <v>94</v>
      </c>
      <c r="G31" s="13" t="s">
        <v>104</v>
      </c>
      <c r="H31" s="10">
        <v>2540</v>
      </c>
      <c r="I31" s="12">
        <v>46313</v>
      </c>
      <c r="J31" s="13" t="str">
        <f t="shared" si="1"/>
        <v>No</v>
      </c>
    </row>
    <row r="32" spans="1:10">
      <c r="A32" s="2" t="s">
        <v>162</v>
      </c>
      <c r="B32" s="2" t="s">
        <v>163</v>
      </c>
      <c r="C32" s="2" t="s">
        <v>161</v>
      </c>
      <c r="D32" s="2" t="s">
        <v>59</v>
      </c>
      <c r="E32" s="13" t="s">
        <v>93</v>
      </c>
      <c r="F32" s="13" t="s">
        <v>94</v>
      </c>
      <c r="G32" s="13" t="s">
        <v>95</v>
      </c>
      <c r="H32" s="10">
        <v>4720</v>
      </c>
      <c r="I32" s="12">
        <v>46283</v>
      </c>
      <c r="J32" s="13" t="str">
        <f t="shared" si="1"/>
        <v>Yes</v>
      </c>
    </row>
    <row r="33" spans="1:10">
      <c r="A33" s="2" t="s">
        <v>164</v>
      </c>
      <c r="B33" s="2" t="s">
        <v>165</v>
      </c>
      <c r="C33" s="2" t="s">
        <v>161</v>
      </c>
      <c r="D33" s="2" t="s">
        <v>59</v>
      </c>
      <c r="E33" s="13" t="s">
        <v>93</v>
      </c>
      <c r="F33" s="13" t="s">
        <v>94</v>
      </c>
      <c r="G33" s="13" t="s">
        <v>95</v>
      </c>
      <c r="H33" s="10">
        <v>3310</v>
      </c>
      <c r="I33" s="12">
        <v>46311</v>
      </c>
      <c r="J33" s="13" t="str">
        <f t="shared" si="1"/>
        <v>Yes</v>
      </c>
    </row>
    <row r="34" spans="1:10">
      <c r="A34" s="2" t="s">
        <v>166</v>
      </c>
      <c r="B34" s="2" t="s">
        <v>167</v>
      </c>
      <c r="C34" s="2" t="s">
        <v>161</v>
      </c>
      <c r="D34" s="2" t="s">
        <v>59</v>
      </c>
      <c r="E34" s="13" t="s">
        <v>93</v>
      </c>
      <c r="F34" s="13" t="s">
        <v>107</v>
      </c>
      <c r="G34" s="13" t="s">
        <v>104</v>
      </c>
      <c r="H34" s="10">
        <v>860</v>
      </c>
      <c r="I34" s="12">
        <v>46308</v>
      </c>
      <c r="J34" s="13" t="str">
        <f t="shared" si="1"/>
        <v>No</v>
      </c>
    </row>
    <row r="35" spans="1:10">
      <c r="A35" s="2" t="s">
        <v>168</v>
      </c>
      <c r="B35" s="2" t="s">
        <v>169</v>
      </c>
      <c r="C35" s="2" t="s">
        <v>161</v>
      </c>
      <c r="D35" s="2" t="s">
        <v>59</v>
      </c>
      <c r="E35" s="13" t="s">
        <v>93</v>
      </c>
      <c r="F35" s="13" t="s">
        <v>94</v>
      </c>
      <c r="G35" s="13" t="s">
        <v>95</v>
      </c>
      <c r="H35" s="10">
        <v>2980</v>
      </c>
      <c r="I35" s="12">
        <v>46310</v>
      </c>
      <c r="J35" s="13" t="str">
        <f t="shared" si="1"/>
        <v>Yes</v>
      </c>
    </row>
    <row r="36" spans="1:10">
      <c r="A36" s="2" t="s">
        <v>170</v>
      </c>
      <c r="B36" s="2" t="s">
        <v>171</v>
      </c>
      <c r="C36" s="2" t="s">
        <v>161</v>
      </c>
      <c r="D36" s="2" t="s">
        <v>59</v>
      </c>
      <c r="E36" s="13" t="s">
        <v>93</v>
      </c>
      <c r="F36" s="13" t="s">
        <v>94</v>
      </c>
      <c r="G36" s="13" t="s">
        <v>95</v>
      </c>
      <c r="H36" s="10">
        <v>3470</v>
      </c>
      <c r="I36" s="12">
        <v>46309</v>
      </c>
      <c r="J36" s="13" t="str">
        <f t="shared" ref="J36:J62" si="2">IF(G36="Yes","Yes","No")</f>
        <v>Yes</v>
      </c>
    </row>
    <row r="37" spans="1:10">
      <c r="A37" s="2" t="s">
        <v>172</v>
      </c>
      <c r="B37" s="2" t="s">
        <v>173</v>
      </c>
      <c r="C37" s="2" t="s">
        <v>161</v>
      </c>
      <c r="D37" s="2" t="s">
        <v>59</v>
      </c>
      <c r="E37" s="13" t="s">
        <v>93</v>
      </c>
      <c r="F37" s="13" t="s">
        <v>94</v>
      </c>
      <c r="G37" s="13" t="s">
        <v>95</v>
      </c>
      <c r="H37" s="10">
        <v>2160</v>
      </c>
      <c r="I37" s="12">
        <v>46275</v>
      </c>
      <c r="J37" s="13" t="str">
        <f t="shared" si="2"/>
        <v>Yes</v>
      </c>
    </row>
    <row r="38" spans="1:10">
      <c r="A38" s="2" t="s">
        <v>174</v>
      </c>
      <c r="B38" s="2" t="s">
        <v>175</v>
      </c>
      <c r="C38" s="2" t="s">
        <v>161</v>
      </c>
      <c r="D38" s="2" t="s">
        <v>59</v>
      </c>
      <c r="E38" s="13" t="s">
        <v>93</v>
      </c>
      <c r="F38" s="13" t="s">
        <v>107</v>
      </c>
      <c r="G38" s="13" t="s">
        <v>95</v>
      </c>
      <c r="H38" s="10">
        <v>1890</v>
      </c>
      <c r="I38" s="12">
        <v>46266</v>
      </c>
      <c r="J38" s="13" t="str">
        <f t="shared" si="2"/>
        <v>Yes</v>
      </c>
    </row>
    <row r="39" spans="1:10">
      <c r="A39" s="2" t="s">
        <v>176</v>
      </c>
      <c r="B39" s="2" t="s">
        <v>177</v>
      </c>
      <c r="C39" s="2" t="s">
        <v>149</v>
      </c>
      <c r="D39" s="2" t="s">
        <v>150</v>
      </c>
      <c r="E39" s="13" t="s">
        <v>93</v>
      </c>
      <c r="F39" s="13" t="s">
        <v>107</v>
      </c>
      <c r="G39" s="13" t="s">
        <v>104</v>
      </c>
      <c r="H39" s="10">
        <v>11240</v>
      </c>
      <c r="I39" s="12">
        <v>46239</v>
      </c>
      <c r="J39" s="13" t="str">
        <f t="shared" si="2"/>
        <v>No</v>
      </c>
    </row>
    <row r="40" spans="1:10">
      <c r="A40" s="2" t="s">
        <v>178</v>
      </c>
      <c r="B40" s="2" t="s">
        <v>179</v>
      </c>
      <c r="C40" s="2" t="s">
        <v>149</v>
      </c>
      <c r="D40" s="2" t="s">
        <v>150</v>
      </c>
      <c r="E40" s="13" t="s">
        <v>93</v>
      </c>
      <c r="F40" s="13" t="s">
        <v>94</v>
      </c>
      <c r="G40" s="13" t="s">
        <v>95</v>
      </c>
      <c r="H40" s="10">
        <v>8760</v>
      </c>
      <c r="I40" s="12">
        <v>46310</v>
      </c>
      <c r="J40" s="13" t="str">
        <f t="shared" si="2"/>
        <v>Yes</v>
      </c>
    </row>
    <row r="41" spans="1:10">
      <c r="A41" s="2" t="s">
        <v>180</v>
      </c>
      <c r="B41" s="2" t="s">
        <v>181</v>
      </c>
      <c r="C41" s="2" t="s">
        <v>149</v>
      </c>
      <c r="D41" s="2" t="s">
        <v>150</v>
      </c>
      <c r="E41" s="13" t="s">
        <v>93</v>
      </c>
      <c r="F41" s="13" t="s">
        <v>107</v>
      </c>
      <c r="G41" s="13" t="s">
        <v>104</v>
      </c>
      <c r="H41" s="10">
        <v>4310</v>
      </c>
      <c r="I41" s="12">
        <v>46311</v>
      </c>
      <c r="J41" s="13" t="str">
        <f t="shared" si="2"/>
        <v>No</v>
      </c>
    </row>
    <row r="42" spans="1:10">
      <c r="A42" s="2" t="s">
        <v>182</v>
      </c>
      <c r="B42" s="2" t="s">
        <v>183</v>
      </c>
      <c r="C42" s="2" t="s">
        <v>149</v>
      </c>
      <c r="D42" s="2" t="s">
        <v>150</v>
      </c>
      <c r="E42" s="13" t="s">
        <v>93</v>
      </c>
      <c r="F42" s="13" t="s">
        <v>94</v>
      </c>
      <c r="G42" s="13" t="s">
        <v>95</v>
      </c>
      <c r="H42" s="10">
        <v>3950</v>
      </c>
      <c r="I42" s="12">
        <v>46272</v>
      </c>
      <c r="J42" s="13" t="str">
        <f t="shared" si="2"/>
        <v>Yes</v>
      </c>
    </row>
    <row r="43" spans="1:10">
      <c r="A43" s="2" t="s">
        <v>184</v>
      </c>
      <c r="B43" s="2" t="s">
        <v>185</v>
      </c>
      <c r="C43" s="2" t="s">
        <v>149</v>
      </c>
      <c r="D43" s="2" t="s">
        <v>150</v>
      </c>
      <c r="E43" s="13" t="s">
        <v>93</v>
      </c>
      <c r="F43" s="13" t="s">
        <v>94</v>
      </c>
      <c r="G43" s="13" t="s">
        <v>95</v>
      </c>
      <c r="H43" s="10">
        <v>6870</v>
      </c>
      <c r="I43" s="12">
        <v>46288</v>
      </c>
      <c r="J43" s="13" t="str">
        <f t="shared" si="2"/>
        <v>Yes</v>
      </c>
    </row>
    <row r="44" spans="1:10">
      <c r="A44" s="2" t="s">
        <v>186</v>
      </c>
      <c r="B44" s="2" t="s">
        <v>187</v>
      </c>
      <c r="C44" s="2" t="s">
        <v>149</v>
      </c>
      <c r="D44" s="2" t="s">
        <v>150</v>
      </c>
      <c r="E44" s="13" t="s">
        <v>93</v>
      </c>
      <c r="F44" s="13" t="s">
        <v>107</v>
      </c>
      <c r="G44" s="13" t="s">
        <v>104</v>
      </c>
      <c r="H44" s="10">
        <v>2140</v>
      </c>
      <c r="I44" s="12">
        <v>46310</v>
      </c>
      <c r="J44" s="13" t="str">
        <f t="shared" si="2"/>
        <v>No</v>
      </c>
    </row>
    <row r="45" spans="1:10">
      <c r="A45" s="2" t="s">
        <v>188</v>
      </c>
      <c r="B45" s="2" t="s">
        <v>189</v>
      </c>
      <c r="C45" s="2" t="s">
        <v>112</v>
      </c>
      <c r="D45" s="2" t="s">
        <v>58</v>
      </c>
      <c r="E45" s="13" t="s">
        <v>93</v>
      </c>
      <c r="F45" s="13" t="s">
        <v>94</v>
      </c>
      <c r="G45" s="13" t="s">
        <v>95</v>
      </c>
      <c r="H45" s="10">
        <v>3260</v>
      </c>
      <c r="I45" s="12">
        <v>46307</v>
      </c>
      <c r="J45" s="13" t="str">
        <f t="shared" si="2"/>
        <v>Yes</v>
      </c>
    </row>
    <row r="46" spans="1:10">
      <c r="A46" s="2" t="s">
        <v>190</v>
      </c>
      <c r="B46" s="2" t="s">
        <v>191</v>
      </c>
      <c r="C46" s="2" t="s">
        <v>112</v>
      </c>
      <c r="D46" s="2" t="s">
        <v>58</v>
      </c>
      <c r="E46" s="13" t="s">
        <v>93</v>
      </c>
      <c r="F46" s="13" t="s">
        <v>94</v>
      </c>
      <c r="G46" s="13" t="s">
        <v>95</v>
      </c>
      <c r="H46" s="10">
        <v>4580</v>
      </c>
      <c r="I46" s="12">
        <v>46310</v>
      </c>
      <c r="J46" s="13" t="str">
        <f t="shared" si="2"/>
        <v>Yes</v>
      </c>
    </row>
    <row r="47" spans="1:10">
      <c r="A47" s="2" t="s">
        <v>192</v>
      </c>
      <c r="B47" s="2" t="s">
        <v>193</v>
      </c>
      <c r="C47" s="2" t="s">
        <v>98</v>
      </c>
      <c r="D47" s="2" t="s">
        <v>99</v>
      </c>
      <c r="E47" s="13" t="s">
        <v>93</v>
      </c>
      <c r="F47" s="13" t="s">
        <v>107</v>
      </c>
      <c r="G47" s="13" t="s">
        <v>95</v>
      </c>
      <c r="H47" s="10">
        <v>2730</v>
      </c>
      <c r="I47" s="12">
        <v>46313</v>
      </c>
      <c r="J47" s="13" t="str">
        <f t="shared" si="2"/>
        <v>Yes</v>
      </c>
    </row>
    <row r="48" spans="1:10">
      <c r="A48" s="2" t="s">
        <v>194</v>
      </c>
      <c r="B48" s="2" t="s">
        <v>195</v>
      </c>
      <c r="C48" s="2" t="s">
        <v>98</v>
      </c>
      <c r="D48" s="2" t="s">
        <v>99</v>
      </c>
      <c r="E48" s="13" t="s">
        <v>93</v>
      </c>
      <c r="F48" s="13" t="s">
        <v>121</v>
      </c>
      <c r="G48" s="13" t="s">
        <v>104</v>
      </c>
      <c r="H48" s="10">
        <v>640</v>
      </c>
      <c r="I48" s="12">
        <v>46276</v>
      </c>
      <c r="J48" s="13" t="str">
        <f t="shared" si="2"/>
        <v>No</v>
      </c>
    </row>
    <row r="49" spans="1:10">
      <c r="A49" s="2" t="s">
        <v>196</v>
      </c>
      <c r="B49" s="2" t="s">
        <v>197</v>
      </c>
      <c r="C49" s="2" t="s">
        <v>98</v>
      </c>
      <c r="D49" s="2" t="s">
        <v>99</v>
      </c>
      <c r="E49" s="13" t="s">
        <v>93</v>
      </c>
      <c r="F49" s="13" t="s">
        <v>94</v>
      </c>
      <c r="G49" s="13" t="s">
        <v>104</v>
      </c>
      <c r="H49" s="10">
        <v>510</v>
      </c>
      <c r="I49" s="12">
        <v>46313</v>
      </c>
      <c r="J49" s="13" t="str">
        <f t="shared" si="2"/>
        <v>No</v>
      </c>
    </row>
    <row r="50" spans="1:10">
      <c r="A50" s="2" t="s">
        <v>198</v>
      </c>
      <c r="B50" s="2" t="s">
        <v>199</v>
      </c>
      <c r="C50" s="2" t="s">
        <v>98</v>
      </c>
      <c r="D50" s="2" t="s">
        <v>99</v>
      </c>
      <c r="E50" s="13" t="s">
        <v>93</v>
      </c>
      <c r="F50" s="13" t="s">
        <v>94</v>
      </c>
      <c r="G50" s="13" t="s">
        <v>104</v>
      </c>
      <c r="H50" s="10">
        <v>1980</v>
      </c>
      <c r="I50" s="12">
        <v>46308</v>
      </c>
      <c r="J50" s="13" t="str">
        <f t="shared" si="2"/>
        <v>No</v>
      </c>
    </row>
    <row r="51" spans="1:10">
      <c r="A51" s="2" t="s">
        <v>200</v>
      </c>
      <c r="B51" s="2" t="s">
        <v>201</v>
      </c>
      <c r="C51" s="2" t="s">
        <v>98</v>
      </c>
      <c r="D51" s="2" t="s">
        <v>99</v>
      </c>
      <c r="E51" s="13" t="s">
        <v>93</v>
      </c>
      <c r="F51" s="13" t="s">
        <v>94</v>
      </c>
      <c r="G51" s="13" t="s">
        <v>104</v>
      </c>
      <c r="H51" s="10">
        <v>870</v>
      </c>
      <c r="I51" s="12">
        <v>46304</v>
      </c>
      <c r="J51" s="13" t="str">
        <f t="shared" si="2"/>
        <v>No</v>
      </c>
    </row>
    <row r="52" spans="1:10">
      <c r="A52" s="2" t="s">
        <v>202</v>
      </c>
      <c r="B52" s="2" t="s">
        <v>203</v>
      </c>
      <c r="C52" s="2" t="s">
        <v>98</v>
      </c>
      <c r="D52" s="2" t="s">
        <v>99</v>
      </c>
      <c r="E52" s="13" t="s">
        <v>93</v>
      </c>
      <c r="F52" s="13" t="s">
        <v>94</v>
      </c>
      <c r="G52" s="13" t="s">
        <v>104</v>
      </c>
      <c r="H52" s="10">
        <v>3420</v>
      </c>
      <c r="I52" s="12">
        <v>46301</v>
      </c>
      <c r="J52" s="13" t="str">
        <f t="shared" si="2"/>
        <v>No</v>
      </c>
    </row>
    <row r="53" spans="1:10">
      <c r="A53" s="2" t="s">
        <v>204</v>
      </c>
      <c r="B53" s="2" t="s">
        <v>205</v>
      </c>
      <c r="C53" s="2" t="s">
        <v>206</v>
      </c>
      <c r="D53" s="2" t="s">
        <v>4</v>
      </c>
      <c r="E53" s="13" t="s">
        <v>93</v>
      </c>
      <c r="F53" s="13" t="s">
        <v>94</v>
      </c>
      <c r="G53" s="13" t="s">
        <v>95</v>
      </c>
      <c r="H53" s="10">
        <v>5610</v>
      </c>
      <c r="I53" s="12">
        <v>46308</v>
      </c>
      <c r="J53" s="13" t="str">
        <f t="shared" si="2"/>
        <v>Yes</v>
      </c>
    </row>
    <row r="54" spans="1:10">
      <c r="A54" s="2" t="s">
        <v>207</v>
      </c>
      <c r="B54" s="2" t="s">
        <v>208</v>
      </c>
      <c r="C54" s="2" t="s">
        <v>206</v>
      </c>
      <c r="D54" s="2" t="s">
        <v>4</v>
      </c>
      <c r="E54" s="13" t="s">
        <v>93</v>
      </c>
      <c r="F54" s="13" t="s">
        <v>94</v>
      </c>
      <c r="G54" s="13" t="s">
        <v>95</v>
      </c>
      <c r="H54" s="10">
        <v>2840</v>
      </c>
      <c r="I54" s="12">
        <v>46298</v>
      </c>
      <c r="J54" s="13" t="str">
        <f t="shared" si="2"/>
        <v>Yes</v>
      </c>
    </row>
    <row r="55" spans="1:10">
      <c r="A55" s="2" t="s">
        <v>209</v>
      </c>
      <c r="B55" s="2" t="s">
        <v>210</v>
      </c>
      <c r="C55" s="2" t="s">
        <v>206</v>
      </c>
      <c r="D55" s="2" t="s">
        <v>4</v>
      </c>
      <c r="E55" s="13" t="s">
        <v>93</v>
      </c>
      <c r="F55" s="13" t="s">
        <v>107</v>
      </c>
      <c r="G55" s="13" t="s">
        <v>104</v>
      </c>
      <c r="H55" s="10">
        <v>1960</v>
      </c>
      <c r="I55" s="12">
        <v>46304</v>
      </c>
      <c r="J55" s="13" t="str">
        <f t="shared" si="2"/>
        <v>No</v>
      </c>
    </row>
    <row r="56" spans="1:10">
      <c r="A56" s="2" t="s">
        <v>211</v>
      </c>
      <c r="B56" s="2" t="s">
        <v>212</v>
      </c>
      <c r="C56" s="2" t="s">
        <v>206</v>
      </c>
      <c r="D56" s="2" t="s">
        <v>4</v>
      </c>
      <c r="E56" s="13" t="s">
        <v>93</v>
      </c>
      <c r="F56" s="13" t="s">
        <v>94</v>
      </c>
      <c r="G56" s="13" t="s">
        <v>104</v>
      </c>
      <c r="H56" s="10">
        <v>420</v>
      </c>
      <c r="I56" s="12">
        <v>46307</v>
      </c>
      <c r="J56" s="13" t="str">
        <f t="shared" si="2"/>
        <v>No</v>
      </c>
    </row>
    <row r="57" spans="1:10">
      <c r="A57" s="2" t="s">
        <v>213</v>
      </c>
      <c r="B57" s="2" t="s">
        <v>214</v>
      </c>
      <c r="C57" s="2" t="s">
        <v>92</v>
      </c>
      <c r="D57" s="2" t="s">
        <v>63</v>
      </c>
      <c r="E57" s="13" t="s">
        <v>93</v>
      </c>
      <c r="F57" s="13" t="s">
        <v>94</v>
      </c>
      <c r="G57" s="13" t="s">
        <v>104</v>
      </c>
      <c r="H57" s="10">
        <v>2310</v>
      </c>
      <c r="I57" s="12">
        <v>46241</v>
      </c>
      <c r="J57" s="13" t="str">
        <f t="shared" si="2"/>
        <v>No</v>
      </c>
    </row>
    <row r="58" spans="1:10">
      <c r="A58" s="2" t="s">
        <v>215</v>
      </c>
      <c r="B58" s="2" t="s">
        <v>216</v>
      </c>
      <c r="C58" s="2" t="s">
        <v>138</v>
      </c>
      <c r="D58" s="2" t="s">
        <v>64</v>
      </c>
      <c r="E58" s="13" t="s">
        <v>93</v>
      </c>
      <c r="F58" s="13" t="s">
        <v>94</v>
      </c>
      <c r="G58" s="13" t="s">
        <v>95</v>
      </c>
      <c r="H58" s="10">
        <v>1150</v>
      </c>
      <c r="I58" s="12">
        <v>46310</v>
      </c>
      <c r="J58" s="13" t="str">
        <f t="shared" si="2"/>
        <v>Yes</v>
      </c>
    </row>
    <row r="59" spans="1:10">
      <c r="A59" s="2" t="s">
        <v>217</v>
      </c>
      <c r="B59" s="2" t="s">
        <v>218</v>
      </c>
      <c r="C59" s="2" t="s">
        <v>149</v>
      </c>
      <c r="D59" s="2" t="s">
        <v>150</v>
      </c>
      <c r="E59" s="13" t="s">
        <v>93</v>
      </c>
      <c r="F59" s="13" t="s">
        <v>94</v>
      </c>
      <c r="G59" s="13" t="s">
        <v>95</v>
      </c>
      <c r="H59" s="10">
        <v>2060</v>
      </c>
      <c r="I59" s="12">
        <v>46280</v>
      </c>
      <c r="J59" s="13" t="str">
        <f t="shared" si="2"/>
        <v>Yes</v>
      </c>
    </row>
    <row r="60" spans="1:10">
      <c r="A60" s="2" t="s">
        <v>219</v>
      </c>
      <c r="B60" s="2" t="s">
        <v>220</v>
      </c>
      <c r="C60" s="2" t="s">
        <v>98</v>
      </c>
      <c r="D60" s="2" t="s">
        <v>99</v>
      </c>
      <c r="E60" s="13" t="s">
        <v>93</v>
      </c>
      <c r="F60" s="13" t="s">
        <v>94</v>
      </c>
      <c r="G60" s="13" t="s">
        <v>95</v>
      </c>
      <c r="H60" s="10">
        <v>970</v>
      </c>
      <c r="I60" s="12">
        <v>46237</v>
      </c>
      <c r="J60" s="13" t="str">
        <f t="shared" si="2"/>
        <v>Yes</v>
      </c>
    </row>
    <row r="61" spans="1:10">
      <c r="A61" s="2" t="s">
        <v>221</v>
      </c>
      <c r="B61" s="2" t="s">
        <v>222</v>
      </c>
      <c r="C61" s="2" t="s">
        <v>138</v>
      </c>
      <c r="D61" s="2" t="s">
        <v>64</v>
      </c>
      <c r="E61" s="13" t="s">
        <v>93</v>
      </c>
      <c r="F61" s="13" t="s">
        <v>94</v>
      </c>
      <c r="G61" s="13" t="s">
        <v>95</v>
      </c>
      <c r="H61" s="10">
        <v>6240</v>
      </c>
      <c r="I61" s="12">
        <v>46249</v>
      </c>
      <c r="J61" s="13" t="str">
        <f t="shared" si="2"/>
        <v>Yes</v>
      </c>
    </row>
    <row r="62" spans="1:10">
      <c r="A62" s="2" t="s">
        <v>223</v>
      </c>
      <c r="B62" s="2" t="s">
        <v>224</v>
      </c>
      <c r="C62" s="2" t="s">
        <v>92</v>
      </c>
      <c r="D62" s="2" t="s">
        <v>63</v>
      </c>
      <c r="E62" s="13" t="s">
        <v>93</v>
      </c>
      <c r="F62" s="13" t="s">
        <v>94</v>
      </c>
      <c r="G62" s="13" t="s">
        <v>104</v>
      </c>
      <c r="H62" s="10">
        <v>690</v>
      </c>
      <c r="I62" s="12">
        <v>46313</v>
      </c>
      <c r="J62" s="13" t="str">
        <f t="shared" si="2"/>
        <v>No</v>
      </c>
    </row>
  </sheetData>
  <mergeCells count="1">
    <mergeCell ref="A1:J1"/>
  </mergeCells>
  <conditionalFormatting sqref="J3:J62">
    <cfRule type="cellIs" dxfId="32" priority="1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3C01-24D0-48DA-AEBE-4873B165F6C0}">
  <dimension ref="A1:H12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26.7109375" customWidth="1"/>
    <col min="4" max="4" width="22.7109375" customWidth="1"/>
    <col min="5" max="5" width="13.7109375" customWidth="1"/>
    <col min="6" max="6" width="14.7109375" customWidth="1"/>
    <col min="7" max="7" width="36.7109375" customWidth="1"/>
    <col min="8" max="8" width="70.7109375" customWidth="1"/>
  </cols>
  <sheetData>
    <row r="1" spans="1:8" ht="24" customHeight="1">
      <c r="A1" s="33" t="s">
        <v>225</v>
      </c>
      <c r="B1" s="33"/>
      <c r="C1" s="33"/>
      <c r="D1" s="33"/>
      <c r="E1" s="33"/>
      <c r="F1" s="33"/>
      <c r="G1" s="33"/>
      <c r="H1" s="33"/>
    </row>
    <row r="2" spans="1:8" ht="32.25" customHeight="1">
      <c r="A2" s="9" t="s">
        <v>226</v>
      </c>
      <c r="B2" s="9" t="s">
        <v>227</v>
      </c>
      <c r="C2" s="9" t="s">
        <v>228</v>
      </c>
      <c r="D2" s="9" t="s">
        <v>52</v>
      </c>
      <c r="E2" s="9" t="s">
        <v>229</v>
      </c>
      <c r="F2" s="9" t="s">
        <v>230</v>
      </c>
      <c r="G2" s="9" t="s">
        <v>231</v>
      </c>
      <c r="H2" s="9" t="s">
        <v>232</v>
      </c>
    </row>
    <row r="3" spans="1:8">
      <c r="A3" s="2" t="s">
        <v>233</v>
      </c>
      <c r="B3" s="12">
        <v>46307</v>
      </c>
      <c r="C3" s="2" t="s">
        <v>234</v>
      </c>
      <c r="D3" s="2" t="s">
        <v>58</v>
      </c>
      <c r="E3" s="14">
        <v>5</v>
      </c>
      <c r="F3" s="15">
        <v>120</v>
      </c>
      <c r="G3" s="2" t="s">
        <v>235</v>
      </c>
      <c r="H3" s="3" t="s">
        <v>236</v>
      </c>
    </row>
    <row r="4" spans="1:8">
      <c r="A4" s="2" t="s">
        <v>237</v>
      </c>
      <c r="B4" s="12">
        <v>46304</v>
      </c>
      <c r="C4" s="2" t="s">
        <v>238</v>
      </c>
      <c r="D4" s="2" t="s">
        <v>64</v>
      </c>
      <c r="E4" s="14">
        <v>3</v>
      </c>
      <c r="F4" s="15">
        <v>30</v>
      </c>
      <c r="G4" s="2" t="s">
        <v>235</v>
      </c>
      <c r="H4" s="3" t="s">
        <v>239</v>
      </c>
    </row>
    <row r="5" spans="1:8">
      <c r="A5" s="2" t="s">
        <v>240</v>
      </c>
      <c r="B5" s="12">
        <v>46306</v>
      </c>
      <c r="C5" s="2" t="s">
        <v>241</v>
      </c>
      <c r="D5" s="2" t="s">
        <v>60</v>
      </c>
      <c r="E5" s="14">
        <v>5</v>
      </c>
      <c r="F5" s="15">
        <v>120</v>
      </c>
      <c r="G5" s="2" t="s">
        <v>235</v>
      </c>
      <c r="H5" s="3" t="s">
        <v>242</v>
      </c>
    </row>
    <row r="6" spans="1:8">
      <c r="A6" s="2" t="s">
        <v>243</v>
      </c>
      <c r="B6" s="12">
        <v>46305</v>
      </c>
      <c r="C6" s="2" t="s">
        <v>244</v>
      </c>
      <c r="D6" s="2" t="s">
        <v>59</v>
      </c>
      <c r="E6" s="14">
        <v>5</v>
      </c>
      <c r="F6" s="15">
        <v>155</v>
      </c>
      <c r="G6" s="2" t="s">
        <v>245</v>
      </c>
      <c r="H6" s="3" t="s">
        <v>246</v>
      </c>
    </row>
    <row r="7" spans="1:8">
      <c r="A7" s="2" t="s">
        <v>247</v>
      </c>
      <c r="B7" s="12">
        <v>46309</v>
      </c>
      <c r="C7" s="2" t="s">
        <v>238</v>
      </c>
      <c r="D7" s="2" t="s">
        <v>67</v>
      </c>
      <c r="E7" s="14">
        <v>3</v>
      </c>
      <c r="F7" s="15">
        <v>40</v>
      </c>
      <c r="G7" s="2" t="s">
        <v>248</v>
      </c>
      <c r="H7" s="3" t="s">
        <v>249</v>
      </c>
    </row>
    <row r="8" spans="1:8">
      <c r="A8" s="2" t="s">
        <v>250</v>
      </c>
      <c r="B8" s="12">
        <v>46301</v>
      </c>
      <c r="C8" s="2" t="s">
        <v>244</v>
      </c>
      <c r="D8" s="2" t="s">
        <v>59</v>
      </c>
      <c r="E8" s="14">
        <v>4</v>
      </c>
      <c r="F8" s="15">
        <v>60</v>
      </c>
      <c r="G8" s="2" t="s">
        <v>235</v>
      </c>
      <c r="H8" s="3" t="s">
        <v>251</v>
      </c>
    </row>
    <row r="9" spans="1:8">
      <c r="A9" s="2" t="s">
        <v>252</v>
      </c>
      <c r="B9" s="12">
        <v>46305</v>
      </c>
      <c r="C9" s="2" t="s">
        <v>238</v>
      </c>
      <c r="D9" s="2" t="s">
        <v>62</v>
      </c>
      <c r="E9" s="14">
        <v>2</v>
      </c>
      <c r="F9" s="15">
        <v>10</v>
      </c>
      <c r="G9" s="2" t="s">
        <v>253</v>
      </c>
      <c r="H9" s="3"/>
    </row>
    <row r="10" spans="1:8" ht="30">
      <c r="A10" s="2" t="s">
        <v>254</v>
      </c>
      <c r="B10" s="12">
        <v>46305</v>
      </c>
      <c r="C10" s="2" t="s">
        <v>244</v>
      </c>
      <c r="D10" s="2" t="s">
        <v>59</v>
      </c>
      <c r="E10" s="14">
        <v>2</v>
      </c>
      <c r="F10" s="15">
        <v>80</v>
      </c>
      <c r="G10" s="2" t="s">
        <v>235</v>
      </c>
      <c r="H10" s="3" t="s">
        <v>255</v>
      </c>
    </row>
    <row r="11" spans="1:8">
      <c r="A11" s="2" t="s">
        <v>256</v>
      </c>
      <c r="B11" s="12">
        <v>46301</v>
      </c>
      <c r="C11" s="2" t="s">
        <v>244</v>
      </c>
      <c r="D11" s="2" t="s">
        <v>59</v>
      </c>
      <c r="E11" s="14">
        <v>4</v>
      </c>
      <c r="F11" s="15">
        <v>110</v>
      </c>
      <c r="G11" s="2" t="s">
        <v>257</v>
      </c>
      <c r="H11" s="3" t="s">
        <v>258</v>
      </c>
    </row>
    <row r="12" spans="1:8">
      <c r="A12" s="2" t="s">
        <v>259</v>
      </c>
      <c r="B12" s="12">
        <v>46306</v>
      </c>
      <c r="C12" s="2" t="s">
        <v>241</v>
      </c>
      <c r="D12" s="2" t="s">
        <v>60</v>
      </c>
      <c r="E12" s="14">
        <v>4</v>
      </c>
      <c r="F12" s="15">
        <v>90</v>
      </c>
      <c r="G12" s="2" t="s">
        <v>260</v>
      </c>
      <c r="H12" s="3" t="s">
        <v>258</v>
      </c>
    </row>
    <row r="13" spans="1:8">
      <c r="A13" s="2" t="s">
        <v>261</v>
      </c>
      <c r="B13" s="12">
        <v>46308</v>
      </c>
      <c r="C13" s="2" t="s">
        <v>244</v>
      </c>
      <c r="D13" s="2" t="s">
        <v>59</v>
      </c>
      <c r="E13" s="14">
        <v>2</v>
      </c>
      <c r="F13" s="15">
        <v>20</v>
      </c>
      <c r="G13" s="2" t="s">
        <v>235</v>
      </c>
      <c r="H13" s="3"/>
    </row>
    <row r="14" spans="1:8">
      <c r="A14" s="2" t="s">
        <v>262</v>
      </c>
      <c r="B14" s="12">
        <v>46300</v>
      </c>
      <c r="C14" s="2" t="s">
        <v>234</v>
      </c>
      <c r="D14" s="2" t="s">
        <v>58</v>
      </c>
      <c r="E14" s="14">
        <v>4</v>
      </c>
      <c r="F14" s="15">
        <v>90</v>
      </c>
      <c r="G14" s="2" t="s">
        <v>235</v>
      </c>
      <c r="H14" s="3" t="s">
        <v>236</v>
      </c>
    </row>
    <row r="15" spans="1:8">
      <c r="A15" s="2" t="s">
        <v>263</v>
      </c>
      <c r="B15" s="12">
        <v>46305</v>
      </c>
      <c r="C15" s="2" t="s">
        <v>238</v>
      </c>
      <c r="D15" s="2" t="s">
        <v>63</v>
      </c>
      <c r="E15" s="14">
        <v>4</v>
      </c>
      <c r="F15" s="15">
        <v>80</v>
      </c>
      <c r="G15" s="2" t="s">
        <v>248</v>
      </c>
      <c r="H15" s="3" t="s">
        <v>264</v>
      </c>
    </row>
    <row r="16" spans="1:8">
      <c r="A16" s="2" t="s">
        <v>265</v>
      </c>
      <c r="B16" s="12">
        <v>46300</v>
      </c>
      <c r="C16" s="2" t="s">
        <v>238</v>
      </c>
      <c r="D16" s="2" t="s">
        <v>64</v>
      </c>
      <c r="E16" s="14">
        <v>4</v>
      </c>
      <c r="F16" s="15">
        <v>95</v>
      </c>
      <c r="G16" s="2" t="s">
        <v>266</v>
      </c>
      <c r="H16" s="3" t="s">
        <v>267</v>
      </c>
    </row>
    <row r="17" spans="1:8">
      <c r="A17" s="2" t="s">
        <v>268</v>
      </c>
      <c r="B17" s="12">
        <v>46304</v>
      </c>
      <c r="C17" s="2" t="s">
        <v>241</v>
      </c>
      <c r="D17" s="2" t="s">
        <v>60</v>
      </c>
      <c r="E17" s="14">
        <v>5</v>
      </c>
      <c r="F17" s="15">
        <v>115</v>
      </c>
      <c r="G17" s="2" t="s">
        <v>269</v>
      </c>
      <c r="H17" s="3" t="s">
        <v>270</v>
      </c>
    </row>
    <row r="18" spans="1:8">
      <c r="A18" s="2" t="s">
        <v>271</v>
      </c>
      <c r="B18" s="12">
        <v>46305</v>
      </c>
      <c r="C18" s="2" t="s">
        <v>234</v>
      </c>
      <c r="D18" s="2" t="s">
        <v>58</v>
      </c>
      <c r="E18" s="14">
        <v>4</v>
      </c>
      <c r="F18" s="15">
        <v>90</v>
      </c>
      <c r="G18" s="2" t="s">
        <v>248</v>
      </c>
      <c r="H18" s="3" t="s">
        <v>236</v>
      </c>
    </row>
    <row r="19" spans="1:8">
      <c r="A19" s="2" t="s">
        <v>272</v>
      </c>
      <c r="B19" s="12">
        <v>46300</v>
      </c>
      <c r="C19" s="2" t="s">
        <v>238</v>
      </c>
      <c r="D19" s="2" t="s">
        <v>64</v>
      </c>
      <c r="E19" s="14">
        <v>4</v>
      </c>
      <c r="F19" s="15">
        <v>75</v>
      </c>
      <c r="G19" s="2" t="s">
        <v>253</v>
      </c>
      <c r="H19" s="3" t="s">
        <v>264</v>
      </c>
    </row>
    <row r="20" spans="1:8">
      <c r="A20" s="2" t="s">
        <v>273</v>
      </c>
      <c r="B20" s="12">
        <v>46300</v>
      </c>
      <c r="C20" s="2" t="s">
        <v>241</v>
      </c>
      <c r="D20" s="2" t="s">
        <v>60</v>
      </c>
      <c r="E20" s="14">
        <v>4</v>
      </c>
      <c r="F20" s="15">
        <v>70</v>
      </c>
      <c r="G20" s="2" t="s">
        <v>269</v>
      </c>
      <c r="H20" s="3" t="s">
        <v>258</v>
      </c>
    </row>
    <row r="21" spans="1:8">
      <c r="A21" s="2" t="s">
        <v>274</v>
      </c>
      <c r="B21" s="12">
        <v>46303</v>
      </c>
      <c r="C21" s="2" t="s">
        <v>244</v>
      </c>
      <c r="D21" s="2" t="s">
        <v>59</v>
      </c>
      <c r="E21" s="14">
        <v>4</v>
      </c>
      <c r="F21" s="15">
        <v>70</v>
      </c>
      <c r="G21" s="2" t="s">
        <v>245</v>
      </c>
      <c r="H21" s="3" t="s">
        <v>275</v>
      </c>
    </row>
    <row r="22" spans="1:8">
      <c r="A22" s="2" t="s">
        <v>276</v>
      </c>
      <c r="B22" s="12">
        <v>46308</v>
      </c>
      <c r="C22" s="2" t="s">
        <v>241</v>
      </c>
      <c r="D22" s="2" t="s">
        <v>60</v>
      </c>
      <c r="E22" s="14">
        <v>3</v>
      </c>
      <c r="F22" s="15">
        <v>55</v>
      </c>
      <c r="G22" s="2" t="s">
        <v>269</v>
      </c>
      <c r="H22" s="3"/>
    </row>
    <row r="23" spans="1:8">
      <c r="A23" s="2" t="s">
        <v>277</v>
      </c>
      <c r="B23" s="12">
        <v>46308</v>
      </c>
      <c r="C23" s="2" t="s">
        <v>238</v>
      </c>
      <c r="D23" s="2" t="s">
        <v>62</v>
      </c>
      <c r="E23" s="14">
        <v>5</v>
      </c>
      <c r="F23" s="15">
        <v>120</v>
      </c>
      <c r="G23" s="2" t="s">
        <v>266</v>
      </c>
      <c r="H23" s="3"/>
    </row>
    <row r="24" spans="1:8">
      <c r="A24" s="2" t="s">
        <v>278</v>
      </c>
      <c r="B24" s="12">
        <v>46309</v>
      </c>
      <c r="C24" s="2" t="s">
        <v>244</v>
      </c>
      <c r="D24" s="2" t="s">
        <v>59</v>
      </c>
      <c r="E24" s="14">
        <v>4</v>
      </c>
      <c r="F24" s="15">
        <v>65</v>
      </c>
      <c r="G24" s="2" t="s">
        <v>257</v>
      </c>
      <c r="H24" s="3" t="s">
        <v>246</v>
      </c>
    </row>
    <row r="25" spans="1:8">
      <c r="A25" s="2" t="s">
        <v>279</v>
      </c>
      <c r="B25" s="12">
        <v>46304</v>
      </c>
      <c r="C25" s="2" t="s">
        <v>238</v>
      </c>
      <c r="D25" s="2" t="s">
        <v>63</v>
      </c>
      <c r="E25" s="14">
        <v>5</v>
      </c>
      <c r="F25" s="15">
        <v>95</v>
      </c>
      <c r="G25" s="2" t="s">
        <v>248</v>
      </c>
      <c r="H25" s="3" t="s">
        <v>236</v>
      </c>
    </row>
    <row r="26" spans="1:8">
      <c r="A26" s="2" t="s">
        <v>280</v>
      </c>
      <c r="B26" s="12">
        <v>46300</v>
      </c>
      <c r="C26" s="2" t="s">
        <v>238</v>
      </c>
      <c r="D26" s="2" t="s">
        <v>66</v>
      </c>
      <c r="E26" s="14">
        <v>4</v>
      </c>
      <c r="F26" s="15">
        <v>70</v>
      </c>
      <c r="G26" s="2" t="s">
        <v>235</v>
      </c>
      <c r="H26" s="3" t="s">
        <v>267</v>
      </c>
    </row>
    <row r="27" spans="1:8">
      <c r="A27" s="2" t="s">
        <v>281</v>
      </c>
      <c r="B27" s="12">
        <v>46302</v>
      </c>
      <c r="C27" s="2" t="s">
        <v>241</v>
      </c>
      <c r="D27" s="2" t="s">
        <v>60</v>
      </c>
      <c r="E27" s="14">
        <v>4</v>
      </c>
      <c r="F27" s="15">
        <v>80</v>
      </c>
      <c r="G27" s="2" t="s">
        <v>269</v>
      </c>
      <c r="H27" s="3" t="s">
        <v>242</v>
      </c>
    </row>
    <row r="28" spans="1:8">
      <c r="A28" s="2" t="s">
        <v>282</v>
      </c>
      <c r="B28" s="12">
        <v>46308</v>
      </c>
      <c r="C28" s="2" t="s">
        <v>234</v>
      </c>
      <c r="D28" s="2" t="s">
        <v>58</v>
      </c>
      <c r="E28" s="14">
        <v>5</v>
      </c>
      <c r="F28" s="15">
        <v>125</v>
      </c>
      <c r="G28" s="2" t="s">
        <v>283</v>
      </c>
      <c r="H28" s="3" t="s">
        <v>284</v>
      </c>
    </row>
    <row r="29" spans="1:8">
      <c r="A29" s="2" t="s">
        <v>285</v>
      </c>
      <c r="B29" s="12">
        <v>46307</v>
      </c>
      <c r="C29" s="2" t="s">
        <v>238</v>
      </c>
      <c r="D29" s="2" t="s">
        <v>65</v>
      </c>
      <c r="E29" s="14">
        <v>4</v>
      </c>
      <c r="F29" s="15">
        <v>80</v>
      </c>
      <c r="G29" s="2" t="s">
        <v>248</v>
      </c>
      <c r="H29" s="3" t="s">
        <v>236</v>
      </c>
    </row>
    <row r="30" spans="1:8">
      <c r="A30" s="2" t="s">
        <v>286</v>
      </c>
      <c r="B30" s="12">
        <v>46307</v>
      </c>
      <c r="C30" s="2" t="s">
        <v>241</v>
      </c>
      <c r="D30" s="2" t="s">
        <v>60</v>
      </c>
      <c r="E30" s="14">
        <v>3</v>
      </c>
      <c r="F30" s="15">
        <v>55</v>
      </c>
      <c r="G30" s="2" t="s">
        <v>260</v>
      </c>
      <c r="H30" s="3" t="s">
        <v>249</v>
      </c>
    </row>
    <row r="31" spans="1:8">
      <c r="A31" s="2" t="s">
        <v>287</v>
      </c>
      <c r="B31" s="12">
        <v>46302</v>
      </c>
      <c r="C31" s="2" t="s">
        <v>241</v>
      </c>
      <c r="D31" s="2" t="s">
        <v>60</v>
      </c>
      <c r="E31" s="14">
        <v>5</v>
      </c>
      <c r="F31" s="15">
        <v>130</v>
      </c>
      <c r="G31" s="2" t="s">
        <v>260</v>
      </c>
      <c r="H31" s="3" t="s">
        <v>288</v>
      </c>
    </row>
    <row r="32" spans="1:8">
      <c r="A32" s="2" t="s">
        <v>289</v>
      </c>
      <c r="B32" s="12">
        <v>46302</v>
      </c>
      <c r="C32" s="2" t="s">
        <v>234</v>
      </c>
      <c r="D32" s="2" t="s">
        <v>58</v>
      </c>
      <c r="E32" s="14">
        <v>3</v>
      </c>
      <c r="F32" s="15">
        <v>15</v>
      </c>
      <c r="G32" s="2" t="s">
        <v>290</v>
      </c>
      <c r="H32" s="3" t="s">
        <v>291</v>
      </c>
    </row>
    <row r="33" spans="1:8">
      <c r="A33" s="2" t="s">
        <v>292</v>
      </c>
      <c r="B33" s="12">
        <v>46304</v>
      </c>
      <c r="C33" s="2" t="s">
        <v>241</v>
      </c>
      <c r="D33" s="2" t="s">
        <v>60</v>
      </c>
      <c r="E33" s="14">
        <v>5</v>
      </c>
      <c r="F33" s="15">
        <v>130</v>
      </c>
      <c r="G33" s="2" t="s">
        <v>260</v>
      </c>
      <c r="H33" s="3" t="s">
        <v>270</v>
      </c>
    </row>
    <row r="34" spans="1:8">
      <c r="A34" s="2" t="s">
        <v>293</v>
      </c>
      <c r="B34" s="12">
        <v>46302</v>
      </c>
      <c r="C34" s="2" t="s">
        <v>241</v>
      </c>
      <c r="D34" s="2" t="s">
        <v>60</v>
      </c>
      <c r="E34" s="14">
        <v>5</v>
      </c>
      <c r="F34" s="15">
        <v>120</v>
      </c>
      <c r="G34" s="2" t="s">
        <v>260</v>
      </c>
      <c r="H34" s="3" t="s">
        <v>288</v>
      </c>
    </row>
    <row r="35" spans="1:8" ht="30">
      <c r="A35" s="2" t="s">
        <v>294</v>
      </c>
      <c r="B35" s="12">
        <v>46309</v>
      </c>
      <c r="C35" s="2" t="s">
        <v>241</v>
      </c>
      <c r="D35" s="2" t="s">
        <v>60</v>
      </c>
      <c r="E35" s="14">
        <v>2</v>
      </c>
      <c r="F35" s="15">
        <v>15</v>
      </c>
      <c r="G35" s="2" t="s">
        <v>235</v>
      </c>
      <c r="H35" s="3" t="s">
        <v>255</v>
      </c>
    </row>
    <row r="36" spans="1:8" ht="30">
      <c r="A36" s="2" t="s">
        <v>295</v>
      </c>
      <c r="B36" s="12">
        <v>46304</v>
      </c>
      <c r="C36" s="2" t="s">
        <v>241</v>
      </c>
      <c r="D36" s="2" t="s">
        <v>61</v>
      </c>
      <c r="E36" s="14">
        <v>2</v>
      </c>
      <c r="F36" s="15">
        <v>30</v>
      </c>
      <c r="G36" s="2" t="s">
        <v>248</v>
      </c>
      <c r="H36" s="3" t="s">
        <v>296</v>
      </c>
    </row>
    <row r="37" spans="1:8">
      <c r="A37" s="2" t="s">
        <v>297</v>
      </c>
      <c r="B37" s="12">
        <v>46309</v>
      </c>
      <c r="C37" s="2" t="s">
        <v>234</v>
      </c>
      <c r="D37" s="2" t="s">
        <v>58</v>
      </c>
      <c r="E37" s="14">
        <v>3</v>
      </c>
      <c r="F37" s="15">
        <v>10</v>
      </c>
      <c r="G37" s="2" t="s">
        <v>235</v>
      </c>
      <c r="H37" s="3" t="s">
        <v>239</v>
      </c>
    </row>
    <row r="38" spans="1:8">
      <c r="A38" s="2" t="s">
        <v>298</v>
      </c>
      <c r="B38" s="12">
        <v>46302</v>
      </c>
      <c r="C38" s="2" t="s">
        <v>234</v>
      </c>
      <c r="D38" s="2" t="s">
        <v>58</v>
      </c>
      <c r="E38" s="14">
        <v>5</v>
      </c>
      <c r="F38" s="15">
        <v>145</v>
      </c>
      <c r="G38" s="2" t="s">
        <v>290</v>
      </c>
      <c r="H38" s="3" t="s">
        <v>236</v>
      </c>
    </row>
    <row r="39" spans="1:8">
      <c r="A39" s="2" t="s">
        <v>299</v>
      </c>
      <c r="B39" s="12">
        <v>46300</v>
      </c>
      <c r="C39" s="2" t="s">
        <v>234</v>
      </c>
      <c r="D39" s="2" t="s">
        <v>58</v>
      </c>
      <c r="E39" s="14">
        <v>3</v>
      </c>
      <c r="F39" s="15">
        <v>35</v>
      </c>
      <c r="G39" s="2" t="s">
        <v>283</v>
      </c>
      <c r="H39" s="3" t="s">
        <v>300</v>
      </c>
    </row>
    <row r="40" spans="1:8">
      <c r="A40" s="2" t="s">
        <v>301</v>
      </c>
      <c r="B40" s="12">
        <v>46302</v>
      </c>
      <c r="C40" s="2" t="s">
        <v>238</v>
      </c>
      <c r="D40" s="2" t="s">
        <v>63</v>
      </c>
      <c r="E40" s="14">
        <v>2</v>
      </c>
      <c r="F40" s="15">
        <v>15</v>
      </c>
      <c r="G40" s="2" t="s">
        <v>253</v>
      </c>
      <c r="H40" s="3" t="s">
        <v>302</v>
      </c>
    </row>
    <row r="41" spans="1:8">
      <c r="A41" s="2" t="s">
        <v>303</v>
      </c>
      <c r="B41" s="12">
        <v>46301</v>
      </c>
      <c r="C41" s="2" t="s">
        <v>244</v>
      </c>
      <c r="D41" s="2" t="s">
        <v>59</v>
      </c>
      <c r="E41" s="14">
        <v>3</v>
      </c>
      <c r="F41" s="15">
        <v>60</v>
      </c>
      <c r="G41" s="2" t="s">
        <v>304</v>
      </c>
      <c r="H41" s="3" t="s">
        <v>305</v>
      </c>
    </row>
    <row r="42" spans="1:8">
      <c r="A42" s="2" t="s">
        <v>306</v>
      </c>
      <c r="B42" s="12">
        <v>46305</v>
      </c>
      <c r="C42" s="2" t="s">
        <v>234</v>
      </c>
      <c r="D42" s="2" t="s">
        <v>58</v>
      </c>
      <c r="E42" s="14">
        <v>3</v>
      </c>
      <c r="F42" s="15">
        <v>40</v>
      </c>
      <c r="G42" s="2" t="s">
        <v>235</v>
      </c>
      <c r="H42" s="3" t="s">
        <v>307</v>
      </c>
    </row>
    <row r="43" spans="1:8">
      <c r="A43" s="2" t="s">
        <v>308</v>
      </c>
      <c r="B43" s="12">
        <v>46309</v>
      </c>
      <c r="C43" s="2" t="s">
        <v>234</v>
      </c>
      <c r="D43" s="2" t="s">
        <v>58</v>
      </c>
      <c r="E43" s="14">
        <v>5</v>
      </c>
      <c r="F43" s="15">
        <v>130</v>
      </c>
      <c r="G43" s="2" t="s">
        <v>283</v>
      </c>
      <c r="H43" s="3" t="s">
        <v>236</v>
      </c>
    </row>
    <row r="44" spans="1:8" ht="30">
      <c r="A44" s="2" t="s">
        <v>309</v>
      </c>
      <c r="B44" s="12">
        <v>46307</v>
      </c>
      <c r="C44" s="2" t="s">
        <v>244</v>
      </c>
      <c r="D44" s="2" t="s">
        <v>59</v>
      </c>
      <c r="E44" s="14">
        <v>2</v>
      </c>
      <c r="F44" s="15">
        <v>30</v>
      </c>
      <c r="G44" s="2" t="s">
        <v>235</v>
      </c>
      <c r="H44" s="3" t="s">
        <v>255</v>
      </c>
    </row>
    <row r="45" spans="1:8">
      <c r="A45" s="2" t="s">
        <v>310</v>
      </c>
      <c r="B45" s="12">
        <v>46305</v>
      </c>
      <c r="C45" s="2" t="s">
        <v>241</v>
      </c>
      <c r="D45" s="2" t="s">
        <v>61</v>
      </c>
      <c r="E45" s="14">
        <v>3</v>
      </c>
      <c r="F45" s="15">
        <v>40</v>
      </c>
      <c r="G45" s="2" t="s">
        <v>248</v>
      </c>
      <c r="H45" s="3" t="s">
        <v>300</v>
      </c>
    </row>
    <row r="46" spans="1:8">
      <c r="A46" s="2" t="s">
        <v>311</v>
      </c>
      <c r="B46" s="12">
        <v>46306</v>
      </c>
      <c r="C46" s="2" t="s">
        <v>234</v>
      </c>
      <c r="D46" s="2" t="s">
        <v>58</v>
      </c>
      <c r="E46" s="14">
        <v>5</v>
      </c>
      <c r="F46" s="15">
        <v>110</v>
      </c>
      <c r="G46" s="2" t="s">
        <v>283</v>
      </c>
      <c r="H46" s="3" t="s">
        <v>284</v>
      </c>
    </row>
    <row r="47" spans="1:8">
      <c r="A47" s="2" t="s">
        <v>312</v>
      </c>
      <c r="B47" s="12">
        <v>46305</v>
      </c>
      <c r="C47" s="2" t="s">
        <v>244</v>
      </c>
      <c r="D47" s="2" t="s">
        <v>59</v>
      </c>
      <c r="E47" s="14">
        <v>3</v>
      </c>
      <c r="F47" s="15">
        <v>45</v>
      </c>
      <c r="G47" s="2" t="s">
        <v>304</v>
      </c>
      <c r="H47" s="3" t="s">
        <v>291</v>
      </c>
    </row>
    <row r="48" spans="1:8">
      <c r="A48" s="2" t="s">
        <v>313</v>
      </c>
      <c r="B48" s="12">
        <v>46302</v>
      </c>
      <c r="C48" s="2" t="s">
        <v>244</v>
      </c>
      <c r="D48" s="2" t="s">
        <v>59</v>
      </c>
      <c r="E48" s="14">
        <v>5</v>
      </c>
      <c r="F48" s="15">
        <v>110</v>
      </c>
      <c r="G48" s="2" t="s">
        <v>304</v>
      </c>
      <c r="H48" s="3" t="s">
        <v>275</v>
      </c>
    </row>
    <row r="49" spans="1:8">
      <c r="A49" s="2" t="s">
        <v>314</v>
      </c>
      <c r="B49" s="12">
        <v>46305</v>
      </c>
      <c r="C49" s="2" t="s">
        <v>241</v>
      </c>
      <c r="D49" s="2" t="s">
        <v>60</v>
      </c>
      <c r="E49" s="14">
        <v>5</v>
      </c>
      <c r="F49" s="15">
        <v>115</v>
      </c>
      <c r="G49" s="2" t="s">
        <v>248</v>
      </c>
      <c r="H49" s="3" t="s">
        <v>242</v>
      </c>
    </row>
    <row r="50" spans="1:8">
      <c r="A50" s="2" t="s">
        <v>315</v>
      </c>
      <c r="B50" s="12">
        <v>46308</v>
      </c>
      <c r="C50" s="2" t="s">
        <v>244</v>
      </c>
      <c r="D50" s="2" t="s">
        <v>59</v>
      </c>
      <c r="E50" s="14">
        <v>5</v>
      </c>
      <c r="F50" s="15">
        <v>110</v>
      </c>
      <c r="G50" s="2" t="s">
        <v>235</v>
      </c>
      <c r="H50" s="3" t="s">
        <v>275</v>
      </c>
    </row>
    <row r="51" spans="1:8">
      <c r="A51" s="2" t="s">
        <v>316</v>
      </c>
      <c r="B51" s="12">
        <v>46304</v>
      </c>
      <c r="C51" s="2" t="s">
        <v>238</v>
      </c>
      <c r="D51" s="2" t="s">
        <v>63</v>
      </c>
      <c r="E51" s="14">
        <v>3</v>
      </c>
      <c r="F51" s="15">
        <v>60</v>
      </c>
      <c r="G51" s="2" t="s">
        <v>266</v>
      </c>
      <c r="H51" s="3"/>
    </row>
    <row r="52" spans="1:8">
      <c r="A52" s="2" t="s">
        <v>317</v>
      </c>
      <c r="B52" s="12">
        <v>46305</v>
      </c>
      <c r="C52" s="2" t="s">
        <v>241</v>
      </c>
      <c r="D52" s="2" t="s">
        <v>60</v>
      </c>
      <c r="E52" s="14">
        <v>4</v>
      </c>
      <c r="F52" s="15">
        <v>75</v>
      </c>
      <c r="G52" s="2" t="s">
        <v>269</v>
      </c>
      <c r="H52" s="3" t="s">
        <v>288</v>
      </c>
    </row>
    <row r="53" spans="1:8">
      <c r="A53" s="2" t="s">
        <v>318</v>
      </c>
      <c r="B53" s="12">
        <v>46308</v>
      </c>
      <c r="C53" s="2" t="s">
        <v>241</v>
      </c>
      <c r="D53" s="2" t="s">
        <v>61</v>
      </c>
      <c r="E53" s="14">
        <v>4</v>
      </c>
      <c r="F53" s="15">
        <v>65</v>
      </c>
      <c r="G53" s="2" t="s">
        <v>235</v>
      </c>
      <c r="H53" s="3" t="s">
        <v>270</v>
      </c>
    </row>
    <row r="54" spans="1:8">
      <c r="A54" s="2" t="s">
        <v>319</v>
      </c>
      <c r="B54" s="12">
        <v>46306</v>
      </c>
      <c r="C54" s="2" t="s">
        <v>238</v>
      </c>
      <c r="D54" s="2" t="s">
        <v>65</v>
      </c>
      <c r="E54" s="14">
        <v>4</v>
      </c>
      <c r="F54" s="15">
        <v>45</v>
      </c>
      <c r="G54" s="2" t="s">
        <v>253</v>
      </c>
      <c r="H54" s="3" t="s">
        <v>288</v>
      </c>
    </row>
    <row r="55" spans="1:8" ht="30">
      <c r="A55" s="2" t="s">
        <v>320</v>
      </c>
      <c r="B55" s="12">
        <v>46309</v>
      </c>
      <c r="C55" s="2" t="s">
        <v>244</v>
      </c>
      <c r="D55" s="2" t="s">
        <v>59</v>
      </c>
      <c r="E55" s="14">
        <v>1</v>
      </c>
      <c r="F55" s="15">
        <v>0</v>
      </c>
      <c r="G55" s="2" t="s">
        <v>304</v>
      </c>
      <c r="H55" s="3" t="s">
        <v>321</v>
      </c>
    </row>
    <row r="56" spans="1:8">
      <c r="A56" s="2" t="s">
        <v>322</v>
      </c>
      <c r="B56" s="12">
        <v>46305</v>
      </c>
      <c r="C56" s="2" t="s">
        <v>244</v>
      </c>
      <c r="D56" s="2" t="s">
        <v>59</v>
      </c>
      <c r="E56" s="14">
        <v>5</v>
      </c>
      <c r="F56" s="15">
        <v>115</v>
      </c>
      <c r="G56" s="2" t="s">
        <v>257</v>
      </c>
      <c r="H56" s="3" t="s">
        <v>246</v>
      </c>
    </row>
    <row r="57" spans="1:8">
      <c r="A57" s="2" t="s">
        <v>323</v>
      </c>
      <c r="B57" s="12">
        <v>46305</v>
      </c>
      <c r="C57" s="2" t="s">
        <v>238</v>
      </c>
      <c r="D57" s="2" t="s">
        <v>65</v>
      </c>
      <c r="E57" s="14">
        <v>2</v>
      </c>
      <c r="F57" s="15">
        <v>20</v>
      </c>
      <c r="G57" s="2" t="s">
        <v>235</v>
      </c>
      <c r="H57" s="3" t="s">
        <v>324</v>
      </c>
    </row>
    <row r="58" spans="1:8">
      <c r="A58" s="2" t="s">
        <v>325</v>
      </c>
      <c r="B58" s="12">
        <v>46304</v>
      </c>
      <c r="C58" s="2" t="s">
        <v>234</v>
      </c>
      <c r="D58" s="2" t="s">
        <v>58</v>
      </c>
      <c r="E58" s="14">
        <v>5</v>
      </c>
      <c r="F58" s="15">
        <v>125</v>
      </c>
      <c r="G58" s="2" t="s">
        <v>283</v>
      </c>
      <c r="H58" s="3" t="s">
        <v>236</v>
      </c>
    </row>
    <row r="59" spans="1:8">
      <c r="A59" s="2" t="s">
        <v>326</v>
      </c>
      <c r="B59" s="12">
        <v>46301</v>
      </c>
      <c r="C59" s="2" t="s">
        <v>238</v>
      </c>
      <c r="D59" s="2" t="s">
        <v>62</v>
      </c>
      <c r="E59" s="14">
        <v>2</v>
      </c>
      <c r="F59" s="15">
        <v>10</v>
      </c>
      <c r="G59" s="2" t="s">
        <v>253</v>
      </c>
      <c r="H59" s="3"/>
    </row>
    <row r="60" spans="1:8">
      <c r="A60" s="2" t="s">
        <v>327</v>
      </c>
      <c r="B60" s="12">
        <v>46303</v>
      </c>
      <c r="C60" s="2" t="s">
        <v>238</v>
      </c>
      <c r="D60" s="2" t="s">
        <v>62</v>
      </c>
      <c r="E60" s="14">
        <v>4</v>
      </c>
      <c r="F60" s="15">
        <v>60</v>
      </c>
      <c r="G60" s="2" t="s">
        <v>253</v>
      </c>
      <c r="H60" s="3" t="s">
        <v>267</v>
      </c>
    </row>
    <row r="61" spans="1:8">
      <c r="A61" s="2" t="s">
        <v>328</v>
      </c>
      <c r="B61" s="12">
        <v>46308</v>
      </c>
      <c r="C61" s="2" t="s">
        <v>241</v>
      </c>
      <c r="D61" s="2" t="s">
        <v>61</v>
      </c>
      <c r="E61" s="14">
        <v>5</v>
      </c>
      <c r="F61" s="15">
        <v>130</v>
      </c>
      <c r="G61" s="2" t="s">
        <v>235</v>
      </c>
      <c r="H61" s="3" t="s">
        <v>242</v>
      </c>
    </row>
    <row r="62" spans="1:8">
      <c r="A62" s="2" t="s">
        <v>329</v>
      </c>
      <c r="B62" s="12">
        <v>46300</v>
      </c>
      <c r="C62" s="2" t="s">
        <v>244</v>
      </c>
      <c r="D62" s="2" t="s">
        <v>59</v>
      </c>
      <c r="E62" s="14">
        <v>2</v>
      </c>
      <c r="F62" s="15">
        <v>25</v>
      </c>
      <c r="G62" s="2" t="s">
        <v>245</v>
      </c>
      <c r="H62" s="3" t="s">
        <v>330</v>
      </c>
    </row>
    <row r="63" spans="1:8">
      <c r="A63" s="2" t="s">
        <v>331</v>
      </c>
      <c r="B63" s="12">
        <v>46305</v>
      </c>
      <c r="C63" s="2" t="s">
        <v>241</v>
      </c>
      <c r="D63" s="2" t="s">
        <v>61</v>
      </c>
      <c r="E63" s="14">
        <v>4</v>
      </c>
      <c r="F63" s="15">
        <v>65</v>
      </c>
      <c r="G63" s="2" t="s">
        <v>248</v>
      </c>
      <c r="H63" s="3" t="s">
        <v>270</v>
      </c>
    </row>
    <row r="64" spans="1:8">
      <c r="A64" s="2" t="s">
        <v>332</v>
      </c>
      <c r="B64" s="12">
        <v>46307</v>
      </c>
      <c r="C64" s="2" t="s">
        <v>244</v>
      </c>
      <c r="D64" s="2" t="s">
        <v>59</v>
      </c>
      <c r="E64" s="14">
        <v>4</v>
      </c>
      <c r="F64" s="15">
        <v>75</v>
      </c>
      <c r="G64" s="2" t="s">
        <v>235</v>
      </c>
      <c r="H64" s="3" t="s">
        <v>258</v>
      </c>
    </row>
    <row r="65" spans="1:8">
      <c r="A65" s="2" t="s">
        <v>333</v>
      </c>
      <c r="B65" s="12">
        <v>46305</v>
      </c>
      <c r="C65" s="2" t="s">
        <v>244</v>
      </c>
      <c r="D65" s="2" t="s">
        <v>59</v>
      </c>
      <c r="E65" s="14">
        <v>5</v>
      </c>
      <c r="F65" s="15">
        <v>135</v>
      </c>
      <c r="G65" s="2" t="s">
        <v>235</v>
      </c>
      <c r="H65" s="3"/>
    </row>
    <row r="66" spans="1:8">
      <c r="A66" s="2" t="s">
        <v>334</v>
      </c>
      <c r="B66" s="12">
        <v>46304</v>
      </c>
      <c r="C66" s="2" t="s">
        <v>238</v>
      </c>
      <c r="D66" s="2" t="s">
        <v>66</v>
      </c>
      <c r="E66" s="14">
        <v>5</v>
      </c>
      <c r="F66" s="15">
        <v>120</v>
      </c>
      <c r="G66" s="2" t="s">
        <v>266</v>
      </c>
      <c r="H66" s="3" t="s">
        <v>264</v>
      </c>
    </row>
    <row r="67" spans="1:8">
      <c r="A67" s="2" t="s">
        <v>335</v>
      </c>
      <c r="B67" s="12">
        <v>46308</v>
      </c>
      <c r="C67" s="2" t="s">
        <v>234</v>
      </c>
      <c r="D67" s="2" t="s">
        <v>58</v>
      </c>
      <c r="E67" s="14">
        <v>3</v>
      </c>
      <c r="F67" s="15">
        <v>20</v>
      </c>
      <c r="G67" s="2" t="s">
        <v>283</v>
      </c>
      <c r="H67" s="3" t="s">
        <v>305</v>
      </c>
    </row>
    <row r="68" spans="1:8">
      <c r="A68" s="2" t="s">
        <v>336</v>
      </c>
      <c r="B68" s="12">
        <v>46308</v>
      </c>
      <c r="C68" s="2" t="s">
        <v>238</v>
      </c>
      <c r="D68" s="2" t="s">
        <v>64</v>
      </c>
      <c r="E68" s="14">
        <v>5</v>
      </c>
      <c r="F68" s="15">
        <v>105</v>
      </c>
      <c r="G68" s="2" t="s">
        <v>248</v>
      </c>
      <c r="H68" s="3" t="s">
        <v>236</v>
      </c>
    </row>
    <row r="69" spans="1:8">
      <c r="A69" s="2" t="s">
        <v>337</v>
      </c>
      <c r="B69" s="12">
        <v>46308</v>
      </c>
      <c r="C69" s="2" t="s">
        <v>244</v>
      </c>
      <c r="D69" s="2" t="s">
        <v>59</v>
      </c>
      <c r="E69" s="14">
        <v>4</v>
      </c>
      <c r="F69" s="15">
        <v>70</v>
      </c>
      <c r="G69" s="2" t="s">
        <v>245</v>
      </c>
      <c r="H69" s="3"/>
    </row>
    <row r="70" spans="1:8">
      <c r="A70" s="2" t="s">
        <v>338</v>
      </c>
      <c r="B70" s="12">
        <v>46308</v>
      </c>
      <c r="C70" s="2" t="s">
        <v>234</v>
      </c>
      <c r="D70" s="2" t="s">
        <v>58</v>
      </c>
      <c r="E70" s="14">
        <v>5</v>
      </c>
      <c r="F70" s="15">
        <v>105</v>
      </c>
      <c r="G70" s="2" t="s">
        <v>235</v>
      </c>
      <c r="H70" s="3" t="s">
        <v>236</v>
      </c>
    </row>
    <row r="71" spans="1:8">
      <c r="A71" s="2" t="s">
        <v>339</v>
      </c>
      <c r="B71" s="12">
        <v>46303</v>
      </c>
      <c r="C71" s="2" t="s">
        <v>234</v>
      </c>
      <c r="D71" s="2" t="s">
        <v>58</v>
      </c>
      <c r="E71" s="14">
        <v>4</v>
      </c>
      <c r="F71" s="15">
        <v>115</v>
      </c>
      <c r="G71" s="2" t="s">
        <v>248</v>
      </c>
      <c r="H71" s="3"/>
    </row>
    <row r="72" spans="1:8">
      <c r="A72" s="2" t="s">
        <v>340</v>
      </c>
      <c r="B72" s="12">
        <v>46308</v>
      </c>
      <c r="C72" s="2" t="s">
        <v>238</v>
      </c>
      <c r="D72" s="2" t="s">
        <v>62</v>
      </c>
      <c r="E72" s="14">
        <v>4</v>
      </c>
      <c r="F72" s="15">
        <v>60</v>
      </c>
      <c r="G72" s="2" t="s">
        <v>253</v>
      </c>
      <c r="H72" s="3" t="s">
        <v>267</v>
      </c>
    </row>
    <row r="73" spans="1:8">
      <c r="A73" s="2" t="s">
        <v>341</v>
      </c>
      <c r="B73" s="12">
        <v>46305</v>
      </c>
      <c r="C73" s="2" t="s">
        <v>234</v>
      </c>
      <c r="D73" s="2" t="s">
        <v>58</v>
      </c>
      <c r="E73" s="14">
        <v>5</v>
      </c>
      <c r="F73" s="15">
        <v>115</v>
      </c>
      <c r="G73" s="2" t="s">
        <v>283</v>
      </c>
      <c r="H73" s="3" t="s">
        <v>236</v>
      </c>
    </row>
    <row r="74" spans="1:8">
      <c r="A74" s="2" t="s">
        <v>342</v>
      </c>
      <c r="B74" s="12">
        <v>46308</v>
      </c>
      <c r="C74" s="2" t="s">
        <v>234</v>
      </c>
      <c r="D74" s="2" t="s">
        <v>58</v>
      </c>
      <c r="E74" s="14">
        <v>5</v>
      </c>
      <c r="F74" s="15">
        <v>150</v>
      </c>
      <c r="G74" s="2" t="s">
        <v>248</v>
      </c>
      <c r="H74" s="3" t="s">
        <v>343</v>
      </c>
    </row>
    <row r="75" spans="1:8">
      <c r="A75" s="2" t="s">
        <v>344</v>
      </c>
      <c r="B75" s="12">
        <v>46309</v>
      </c>
      <c r="C75" s="2" t="s">
        <v>244</v>
      </c>
      <c r="D75" s="2" t="s">
        <v>59</v>
      </c>
      <c r="E75" s="14">
        <v>3</v>
      </c>
      <c r="F75" s="15">
        <v>5</v>
      </c>
      <c r="G75" s="2" t="s">
        <v>257</v>
      </c>
      <c r="H75" s="3" t="s">
        <v>249</v>
      </c>
    </row>
    <row r="76" spans="1:8">
      <c r="A76" s="2" t="s">
        <v>345</v>
      </c>
      <c r="B76" s="12">
        <v>46304</v>
      </c>
      <c r="C76" s="2" t="s">
        <v>238</v>
      </c>
      <c r="D76" s="2" t="s">
        <v>65</v>
      </c>
      <c r="E76" s="14">
        <v>5</v>
      </c>
      <c r="F76" s="15">
        <v>105</v>
      </c>
      <c r="G76" s="2" t="s">
        <v>253</v>
      </c>
      <c r="H76" s="3" t="s">
        <v>267</v>
      </c>
    </row>
    <row r="77" spans="1:8">
      <c r="A77" s="2" t="s">
        <v>346</v>
      </c>
      <c r="B77" s="12">
        <v>46302</v>
      </c>
      <c r="C77" s="2" t="s">
        <v>241</v>
      </c>
      <c r="D77" s="2" t="s">
        <v>60</v>
      </c>
      <c r="E77" s="14">
        <v>3</v>
      </c>
      <c r="F77" s="15">
        <v>65</v>
      </c>
      <c r="G77" s="2" t="s">
        <v>235</v>
      </c>
      <c r="H77" s="3"/>
    </row>
    <row r="78" spans="1:8">
      <c r="A78" s="2" t="s">
        <v>347</v>
      </c>
      <c r="B78" s="12">
        <v>46306</v>
      </c>
      <c r="C78" s="2" t="s">
        <v>238</v>
      </c>
      <c r="D78" s="2" t="s">
        <v>63</v>
      </c>
      <c r="E78" s="14">
        <v>5</v>
      </c>
      <c r="F78" s="15">
        <v>110</v>
      </c>
      <c r="G78" s="2" t="s">
        <v>266</v>
      </c>
      <c r="H78" s="3" t="s">
        <v>236</v>
      </c>
    </row>
    <row r="79" spans="1:8">
      <c r="A79" s="2" t="s">
        <v>348</v>
      </c>
      <c r="B79" s="12">
        <v>46301</v>
      </c>
      <c r="C79" s="2" t="s">
        <v>244</v>
      </c>
      <c r="D79" s="2" t="s">
        <v>59</v>
      </c>
      <c r="E79" s="14">
        <v>5</v>
      </c>
      <c r="F79" s="15">
        <v>130</v>
      </c>
      <c r="G79" s="2" t="s">
        <v>304</v>
      </c>
      <c r="H79" s="3" t="s">
        <v>246</v>
      </c>
    </row>
    <row r="80" spans="1:8">
      <c r="A80" s="2" t="s">
        <v>349</v>
      </c>
      <c r="B80" s="12">
        <v>46302</v>
      </c>
      <c r="C80" s="2" t="s">
        <v>244</v>
      </c>
      <c r="D80" s="2" t="s">
        <v>59</v>
      </c>
      <c r="E80" s="14">
        <v>4</v>
      </c>
      <c r="F80" s="15">
        <v>75</v>
      </c>
      <c r="G80" s="2" t="s">
        <v>257</v>
      </c>
      <c r="H80" s="3" t="s">
        <v>258</v>
      </c>
    </row>
    <row r="81" spans="1:8">
      <c r="A81" s="2" t="s">
        <v>350</v>
      </c>
      <c r="B81" s="12">
        <v>46305</v>
      </c>
      <c r="C81" s="2" t="s">
        <v>241</v>
      </c>
      <c r="D81" s="2" t="s">
        <v>61</v>
      </c>
      <c r="E81" s="14">
        <v>4</v>
      </c>
      <c r="F81" s="15">
        <v>90</v>
      </c>
      <c r="G81" s="2" t="s">
        <v>260</v>
      </c>
      <c r="H81" s="3" t="s">
        <v>258</v>
      </c>
    </row>
    <row r="82" spans="1:8">
      <c r="A82" s="2" t="s">
        <v>351</v>
      </c>
      <c r="B82" s="12">
        <v>46301</v>
      </c>
      <c r="C82" s="2" t="s">
        <v>244</v>
      </c>
      <c r="D82" s="2" t="s">
        <v>59</v>
      </c>
      <c r="E82" s="14">
        <v>3</v>
      </c>
      <c r="F82" s="15">
        <v>50</v>
      </c>
      <c r="G82" s="2" t="s">
        <v>304</v>
      </c>
      <c r="H82" s="3" t="s">
        <v>239</v>
      </c>
    </row>
    <row r="83" spans="1:8">
      <c r="A83" s="2" t="s">
        <v>352</v>
      </c>
      <c r="B83" s="12">
        <v>46303</v>
      </c>
      <c r="C83" s="2" t="s">
        <v>238</v>
      </c>
      <c r="D83" s="2" t="s">
        <v>62</v>
      </c>
      <c r="E83" s="14">
        <v>4</v>
      </c>
      <c r="F83" s="15">
        <v>85</v>
      </c>
      <c r="G83" s="2" t="s">
        <v>248</v>
      </c>
      <c r="H83" s="3" t="s">
        <v>236</v>
      </c>
    </row>
    <row r="84" spans="1:8">
      <c r="A84" s="2" t="s">
        <v>353</v>
      </c>
      <c r="B84" s="12">
        <v>46306</v>
      </c>
      <c r="C84" s="2" t="s">
        <v>238</v>
      </c>
      <c r="D84" s="2" t="s">
        <v>62</v>
      </c>
      <c r="E84" s="14">
        <v>3</v>
      </c>
      <c r="F84" s="15">
        <v>70</v>
      </c>
      <c r="G84" s="2" t="s">
        <v>266</v>
      </c>
      <c r="H84" s="3" t="s">
        <v>354</v>
      </c>
    </row>
    <row r="85" spans="1:8">
      <c r="A85" s="2" t="s">
        <v>355</v>
      </c>
      <c r="B85" s="12">
        <v>46308</v>
      </c>
      <c r="C85" s="2" t="s">
        <v>234</v>
      </c>
      <c r="D85" s="2" t="s">
        <v>58</v>
      </c>
      <c r="E85" s="14">
        <v>5</v>
      </c>
      <c r="F85" s="15">
        <v>105</v>
      </c>
      <c r="G85" s="2" t="s">
        <v>235</v>
      </c>
      <c r="H85" s="3" t="s">
        <v>284</v>
      </c>
    </row>
    <row r="86" spans="1:8" ht="30">
      <c r="A86" s="2" t="s">
        <v>356</v>
      </c>
      <c r="B86" s="12">
        <v>46303</v>
      </c>
      <c r="C86" s="2" t="s">
        <v>244</v>
      </c>
      <c r="D86" s="2" t="s">
        <v>59</v>
      </c>
      <c r="E86" s="14">
        <v>2</v>
      </c>
      <c r="F86" s="15">
        <v>0</v>
      </c>
      <c r="G86" s="2" t="s">
        <v>257</v>
      </c>
      <c r="H86" s="3" t="s">
        <v>321</v>
      </c>
    </row>
    <row r="87" spans="1:8">
      <c r="A87" s="2" t="s">
        <v>357</v>
      </c>
      <c r="B87" s="12">
        <v>46302</v>
      </c>
      <c r="C87" s="2" t="s">
        <v>238</v>
      </c>
      <c r="D87" s="2" t="s">
        <v>67</v>
      </c>
      <c r="E87" s="14">
        <v>5</v>
      </c>
      <c r="F87" s="15">
        <v>105</v>
      </c>
      <c r="G87" s="2" t="s">
        <v>253</v>
      </c>
      <c r="H87" s="3" t="s">
        <v>264</v>
      </c>
    </row>
    <row r="88" spans="1:8">
      <c r="A88" s="2" t="s">
        <v>358</v>
      </c>
      <c r="B88" s="12">
        <v>46300</v>
      </c>
      <c r="C88" s="2" t="s">
        <v>244</v>
      </c>
      <c r="D88" s="2" t="s">
        <v>59</v>
      </c>
      <c r="E88" s="14">
        <v>4</v>
      </c>
      <c r="F88" s="15">
        <v>95</v>
      </c>
      <c r="G88" s="2" t="s">
        <v>245</v>
      </c>
      <c r="H88" s="3" t="s">
        <v>246</v>
      </c>
    </row>
    <row r="89" spans="1:8">
      <c r="A89" s="2" t="s">
        <v>359</v>
      </c>
      <c r="B89" s="12">
        <v>46306</v>
      </c>
      <c r="C89" s="2" t="s">
        <v>241</v>
      </c>
      <c r="D89" s="2" t="s">
        <v>60</v>
      </c>
      <c r="E89" s="14">
        <v>4</v>
      </c>
      <c r="F89" s="15">
        <v>100</v>
      </c>
      <c r="G89" s="2" t="s">
        <v>260</v>
      </c>
      <c r="H89" s="3" t="s">
        <v>242</v>
      </c>
    </row>
    <row r="90" spans="1:8">
      <c r="A90" s="2" t="s">
        <v>360</v>
      </c>
      <c r="B90" s="12">
        <v>46305</v>
      </c>
      <c r="C90" s="2" t="s">
        <v>241</v>
      </c>
      <c r="D90" s="2" t="s">
        <v>61</v>
      </c>
      <c r="E90" s="14">
        <v>4</v>
      </c>
      <c r="F90" s="15">
        <v>65</v>
      </c>
      <c r="G90" s="2" t="s">
        <v>269</v>
      </c>
      <c r="H90" s="3" t="s">
        <v>258</v>
      </c>
    </row>
    <row r="91" spans="1:8">
      <c r="A91" s="2" t="s">
        <v>361</v>
      </c>
      <c r="B91" s="12">
        <v>46307</v>
      </c>
      <c r="C91" s="2" t="s">
        <v>234</v>
      </c>
      <c r="D91" s="2" t="s">
        <v>58</v>
      </c>
      <c r="E91" s="14">
        <v>5</v>
      </c>
      <c r="F91" s="15">
        <v>125</v>
      </c>
      <c r="G91" s="2" t="s">
        <v>235</v>
      </c>
      <c r="H91" s="3" t="s">
        <v>343</v>
      </c>
    </row>
    <row r="92" spans="1:8">
      <c r="A92" s="2" t="s">
        <v>362</v>
      </c>
      <c r="B92" s="12">
        <v>46305</v>
      </c>
      <c r="C92" s="2" t="s">
        <v>241</v>
      </c>
      <c r="D92" s="2" t="s">
        <v>61</v>
      </c>
      <c r="E92" s="14">
        <v>4</v>
      </c>
      <c r="F92" s="15">
        <v>85</v>
      </c>
      <c r="G92" s="2" t="s">
        <v>248</v>
      </c>
      <c r="H92" s="3" t="s">
        <v>270</v>
      </c>
    </row>
    <row r="93" spans="1:8">
      <c r="A93" s="2" t="s">
        <v>363</v>
      </c>
      <c r="B93" s="12">
        <v>46308</v>
      </c>
      <c r="C93" s="2" t="s">
        <v>241</v>
      </c>
      <c r="D93" s="2" t="s">
        <v>60</v>
      </c>
      <c r="E93" s="14">
        <v>5</v>
      </c>
      <c r="F93" s="15">
        <v>130</v>
      </c>
      <c r="G93" s="2" t="s">
        <v>260</v>
      </c>
      <c r="H93" s="3" t="s">
        <v>242</v>
      </c>
    </row>
    <row r="94" spans="1:8">
      <c r="A94" s="2" t="s">
        <v>364</v>
      </c>
      <c r="B94" s="12">
        <v>46309</v>
      </c>
      <c r="C94" s="2" t="s">
        <v>244</v>
      </c>
      <c r="D94" s="2" t="s">
        <v>59</v>
      </c>
      <c r="E94" s="14">
        <v>5</v>
      </c>
      <c r="F94" s="15">
        <v>125</v>
      </c>
      <c r="G94" s="2" t="s">
        <v>257</v>
      </c>
      <c r="H94" s="3" t="s">
        <v>246</v>
      </c>
    </row>
    <row r="95" spans="1:8" ht="30">
      <c r="A95" s="2" t="s">
        <v>365</v>
      </c>
      <c r="B95" s="12">
        <v>46309</v>
      </c>
      <c r="C95" s="2" t="s">
        <v>238</v>
      </c>
      <c r="D95" s="2" t="s">
        <v>64</v>
      </c>
      <c r="E95" s="14">
        <v>2</v>
      </c>
      <c r="F95" s="15">
        <v>35</v>
      </c>
      <c r="G95" s="2" t="s">
        <v>266</v>
      </c>
      <c r="H95" s="3" t="s">
        <v>321</v>
      </c>
    </row>
    <row r="96" spans="1:8">
      <c r="A96" s="2" t="s">
        <v>366</v>
      </c>
      <c r="B96" s="12">
        <v>46305</v>
      </c>
      <c r="C96" s="2" t="s">
        <v>234</v>
      </c>
      <c r="D96" s="2" t="s">
        <v>58</v>
      </c>
      <c r="E96" s="14">
        <v>4</v>
      </c>
      <c r="F96" s="15">
        <v>70</v>
      </c>
      <c r="G96" s="2" t="s">
        <v>248</v>
      </c>
      <c r="H96" s="3" t="s">
        <v>284</v>
      </c>
    </row>
    <row r="97" spans="1:8" ht="30">
      <c r="A97" s="2" t="s">
        <v>367</v>
      </c>
      <c r="B97" s="12">
        <v>46300</v>
      </c>
      <c r="C97" s="2" t="s">
        <v>238</v>
      </c>
      <c r="D97" s="2" t="s">
        <v>62</v>
      </c>
      <c r="E97" s="14">
        <v>1</v>
      </c>
      <c r="F97" s="15">
        <v>0</v>
      </c>
      <c r="G97" s="2" t="s">
        <v>235</v>
      </c>
      <c r="H97" s="3" t="s">
        <v>255</v>
      </c>
    </row>
    <row r="98" spans="1:8">
      <c r="A98" s="2" t="s">
        <v>368</v>
      </c>
      <c r="B98" s="12">
        <v>46302</v>
      </c>
      <c r="C98" s="2" t="s">
        <v>238</v>
      </c>
      <c r="D98" s="2" t="s">
        <v>62</v>
      </c>
      <c r="E98" s="14">
        <v>5</v>
      </c>
      <c r="F98" s="15">
        <v>125</v>
      </c>
      <c r="G98" s="2" t="s">
        <v>248</v>
      </c>
      <c r="H98" s="3" t="s">
        <v>267</v>
      </c>
    </row>
    <row r="99" spans="1:8">
      <c r="A99" s="2" t="s">
        <v>369</v>
      </c>
      <c r="B99" s="12">
        <v>46306</v>
      </c>
      <c r="C99" s="2" t="s">
        <v>241</v>
      </c>
      <c r="D99" s="2" t="s">
        <v>60</v>
      </c>
      <c r="E99" s="14">
        <v>5</v>
      </c>
      <c r="F99" s="15">
        <v>120</v>
      </c>
      <c r="G99" s="2" t="s">
        <v>235</v>
      </c>
      <c r="H99" s="3" t="s">
        <v>270</v>
      </c>
    </row>
    <row r="100" spans="1:8">
      <c r="A100" s="2" t="s">
        <v>370</v>
      </c>
      <c r="B100" s="12">
        <v>46300</v>
      </c>
      <c r="C100" s="2" t="s">
        <v>241</v>
      </c>
      <c r="D100" s="2" t="s">
        <v>60</v>
      </c>
      <c r="E100" s="14">
        <v>4</v>
      </c>
      <c r="F100" s="15">
        <v>100</v>
      </c>
      <c r="G100" s="2" t="s">
        <v>269</v>
      </c>
      <c r="H100" s="3" t="s">
        <v>270</v>
      </c>
    </row>
    <row r="101" spans="1:8">
      <c r="A101" s="2" t="s">
        <v>371</v>
      </c>
      <c r="B101" s="12">
        <v>46307</v>
      </c>
      <c r="C101" s="2" t="s">
        <v>241</v>
      </c>
      <c r="D101" s="2" t="s">
        <v>60</v>
      </c>
      <c r="E101" s="14">
        <v>3</v>
      </c>
      <c r="F101" s="15">
        <v>45</v>
      </c>
      <c r="G101" s="2" t="s">
        <v>269</v>
      </c>
      <c r="H101" s="3"/>
    </row>
    <row r="102" spans="1:8">
      <c r="A102" s="2" t="s">
        <v>372</v>
      </c>
      <c r="B102" s="12">
        <v>46303</v>
      </c>
      <c r="C102" s="2" t="s">
        <v>238</v>
      </c>
      <c r="D102" s="2" t="s">
        <v>64</v>
      </c>
      <c r="E102" s="14">
        <v>4</v>
      </c>
      <c r="F102" s="15">
        <v>85</v>
      </c>
      <c r="G102" s="2" t="s">
        <v>266</v>
      </c>
      <c r="H102" s="3"/>
    </row>
    <row r="103" spans="1:8">
      <c r="A103" s="2" t="s">
        <v>373</v>
      </c>
      <c r="B103" s="12">
        <v>46305</v>
      </c>
      <c r="C103" s="2" t="s">
        <v>244</v>
      </c>
      <c r="D103" s="2" t="s">
        <v>59</v>
      </c>
      <c r="E103" s="14">
        <v>5</v>
      </c>
      <c r="F103" s="15">
        <v>90</v>
      </c>
      <c r="G103" s="2" t="s">
        <v>235</v>
      </c>
      <c r="H103" s="3" t="s">
        <v>275</v>
      </c>
    </row>
    <row r="104" spans="1:8">
      <c r="A104" s="2" t="s">
        <v>374</v>
      </c>
      <c r="B104" s="12">
        <v>46300</v>
      </c>
      <c r="C104" s="2" t="s">
        <v>234</v>
      </c>
      <c r="D104" s="2" t="s">
        <v>58</v>
      </c>
      <c r="E104" s="14">
        <v>5</v>
      </c>
      <c r="F104" s="15">
        <v>115</v>
      </c>
      <c r="G104" s="2" t="s">
        <v>283</v>
      </c>
      <c r="H104" s="3" t="s">
        <v>343</v>
      </c>
    </row>
    <row r="105" spans="1:8">
      <c r="A105" s="2" t="s">
        <v>375</v>
      </c>
      <c r="B105" s="12">
        <v>46305</v>
      </c>
      <c r="C105" s="2" t="s">
        <v>234</v>
      </c>
      <c r="D105" s="2" t="s">
        <v>58</v>
      </c>
      <c r="E105" s="14">
        <v>4</v>
      </c>
      <c r="F105" s="15">
        <v>40</v>
      </c>
      <c r="G105" s="2" t="s">
        <v>248</v>
      </c>
      <c r="H105" s="3"/>
    </row>
    <row r="106" spans="1:8">
      <c r="A106" s="2" t="s">
        <v>376</v>
      </c>
      <c r="B106" s="12">
        <v>46306</v>
      </c>
      <c r="C106" s="2" t="s">
        <v>244</v>
      </c>
      <c r="D106" s="2" t="s">
        <v>59</v>
      </c>
      <c r="E106" s="14">
        <v>4</v>
      </c>
      <c r="F106" s="15">
        <v>75</v>
      </c>
      <c r="G106" s="2" t="s">
        <v>257</v>
      </c>
      <c r="H106" s="3" t="s">
        <v>246</v>
      </c>
    </row>
    <row r="107" spans="1:8">
      <c r="A107" s="2" t="s">
        <v>377</v>
      </c>
      <c r="B107" s="12">
        <v>46303</v>
      </c>
      <c r="C107" s="2" t="s">
        <v>241</v>
      </c>
      <c r="D107" s="2" t="s">
        <v>61</v>
      </c>
      <c r="E107" s="14">
        <v>5</v>
      </c>
      <c r="F107" s="15">
        <v>125</v>
      </c>
      <c r="G107" s="2" t="s">
        <v>260</v>
      </c>
      <c r="H107" s="3" t="s">
        <v>288</v>
      </c>
    </row>
    <row r="108" spans="1:8">
      <c r="A108" s="2" t="s">
        <v>378</v>
      </c>
      <c r="B108" s="12">
        <v>46304</v>
      </c>
      <c r="C108" s="2" t="s">
        <v>238</v>
      </c>
      <c r="D108" s="2" t="s">
        <v>64</v>
      </c>
      <c r="E108" s="14">
        <v>3</v>
      </c>
      <c r="F108" s="15">
        <v>30</v>
      </c>
      <c r="G108" s="2" t="s">
        <v>248</v>
      </c>
      <c r="H108" s="3" t="s">
        <v>300</v>
      </c>
    </row>
    <row r="109" spans="1:8" ht="30">
      <c r="A109" s="2" t="s">
        <v>379</v>
      </c>
      <c r="B109" s="12">
        <v>46308</v>
      </c>
      <c r="C109" s="2" t="s">
        <v>241</v>
      </c>
      <c r="D109" s="2" t="s">
        <v>61</v>
      </c>
      <c r="E109" s="14">
        <v>2</v>
      </c>
      <c r="F109" s="15">
        <v>35</v>
      </c>
      <c r="G109" s="2" t="s">
        <v>260</v>
      </c>
      <c r="H109" s="3" t="s">
        <v>321</v>
      </c>
    </row>
    <row r="110" spans="1:8">
      <c r="A110" s="2" t="s">
        <v>380</v>
      </c>
      <c r="B110" s="12">
        <v>46305</v>
      </c>
      <c r="C110" s="2" t="s">
        <v>244</v>
      </c>
      <c r="D110" s="2" t="s">
        <v>59</v>
      </c>
      <c r="E110" s="14">
        <v>5</v>
      </c>
      <c r="F110" s="15">
        <v>145</v>
      </c>
      <c r="G110" s="2" t="s">
        <v>304</v>
      </c>
      <c r="H110" s="3" t="s">
        <v>258</v>
      </c>
    </row>
    <row r="111" spans="1:8">
      <c r="A111" s="2" t="s">
        <v>381</v>
      </c>
      <c r="B111" s="12">
        <v>46307</v>
      </c>
      <c r="C111" s="2" t="s">
        <v>241</v>
      </c>
      <c r="D111" s="2" t="s">
        <v>60</v>
      </c>
      <c r="E111" s="14">
        <v>5</v>
      </c>
      <c r="F111" s="15">
        <v>85</v>
      </c>
      <c r="G111" s="2" t="s">
        <v>260</v>
      </c>
      <c r="H111" s="3" t="s">
        <v>258</v>
      </c>
    </row>
    <row r="112" spans="1:8">
      <c r="A112" s="2" t="s">
        <v>382</v>
      </c>
      <c r="B112" s="12">
        <v>46304</v>
      </c>
      <c r="C112" s="2" t="s">
        <v>238</v>
      </c>
      <c r="D112" s="2" t="s">
        <v>62</v>
      </c>
      <c r="E112" s="14">
        <v>3</v>
      </c>
      <c r="F112" s="15">
        <v>40</v>
      </c>
      <c r="G112" s="2" t="s">
        <v>253</v>
      </c>
      <c r="H112" s="3" t="s">
        <v>307</v>
      </c>
    </row>
    <row r="113" spans="1:8" ht="30">
      <c r="A113" s="2" t="s">
        <v>383</v>
      </c>
      <c r="B113" s="12">
        <v>46308</v>
      </c>
      <c r="C113" s="2" t="s">
        <v>234</v>
      </c>
      <c r="D113" s="2" t="s">
        <v>58</v>
      </c>
      <c r="E113" s="14">
        <v>1</v>
      </c>
      <c r="F113" s="15">
        <v>5</v>
      </c>
      <c r="G113" s="2" t="s">
        <v>248</v>
      </c>
      <c r="H113" s="3" t="s">
        <v>255</v>
      </c>
    </row>
    <row r="114" spans="1:8">
      <c r="A114" s="2" t="s">
        <v>384</v>
      </c>
      <c r="B114" s="12">
        <v>46303</v>
      </c>
      <c r="C114" s="2" t="s">
        <v>241</v>
      </c>
      <c r="D114" s="2" t="s">
        <v>61</v>
      </c>
      <c r="E114" s="14">
        <v>4</v>
      </c>
      <c r="F114" s="15">
        <v>75</v>
      </c>
      <c r="G114" s="2" t="s">
        <v>269</v>
      </c>
      <c r="H114" s="3" t="s">
        <v>288</v>
      </c>
    </row>
    <row r="115" spans="1:8">
      <c r="A115" s="2" t="s">
        <v>385</v>
      </c>
      <c r="B115" s="12">
        <v>46303</v>
      </c>
      <c r="C115" s="2" t="s">
        <v>234</v>
      </c>
      <c r="D115" s="2" t="s">
        <v>58</v>
      </c>
      <c r="E115" s="14">
        <v>5</v>
      </c>
      <c r="F115" s="15">
        <v>105</v>
      </c>
      <c r="G115" s="2" t="s">
        <v>290</v>
      </c>
      <c r="H115" s="3" t="s">
        <v>264</v>
      </c>
    </row>
    <row r="116" spans="1:8" ht="30">
      <c r="A116" s="2" t="s">
        <v>386</v>
      </c>
      <c r="B116" s="12">
        <v>46307</v>
      </c>
      <c r="C116" s="2" t="s">
        <v>244</v>
      </c>
      <c r="D116" s="2" t="s">
        <v>59</v>
      </c>
      <c r="E116" s="14">
        <v>1</v>
      </c>
      <c r="F116" s="15">
        <v>5</v>
      </c>
      <c r="G116" s="2" t="s">
        <v>245</v>
      </c>
      <c r="H116" s="3" t="s">
        <v>255</v>
      </c>
    </row>
    <row r="117" spans="1:8">
      <c r="A117" s="2" t="s">
        <v>387</v>
      </c>
      <c r="B117" s="12">
        <v>46304</v>
      </c>
      <c r="C117" s="2" t="s">
        <v>244</v>
      </c>
      <c r="D117" s="2" t="s">
        <v>59</v>
      </c>
      <c r="E117" s="14">
        <v>3</v>
      </c>
      <c r="F117" s="15">
        <v>50</v>
      </c>
      <c r="G117" s="2" t="s">
        <v>245</v>
      </c>
      <c r="H117" s="3" t="s">
        <v>354</v>
      </c>
    </row>
    <row r="118" spans="1:8">
      <c r="A118" s="2" t="s">
        <v>388</v>
      </c>
      <c r="B118" s="12">
        <v>46301</v>
      </c>
      <c r="C118" s="2" t="s">
        <v>238</v>
      </c>
      <c r="D118" s="2" t="s">
        <v>63</v>
      </c>
      <c r="E118" s="14">
        <v>4</v>
      </c>
      <c r="F118" s="15">
        <v>85</v>
      </c>
      <c r="G118" s="2" t="s">
        <v>253</v>
      </c>
      <c r="H118" s="3"/>
    </row>
    <row r="119" spans="1:8">
      <c r="A119" s="2" t="s">
        <v>389</v>
      </c>
      <c r="B119" s="12">
        <v>46302</v>
      </c>
      <c r="C119" s="2" t="s">
        <v>241</v>
      </c>
      <c r="D119" s="2" t="s">
        <v>61</v>
      </c>
      <c r="E119" s="14">
        <v>5</v>
      </c>
      <c r="F119" s="15">
        <v>100</v>
      </c>
      <c r="G119" s="2" t="s">
        <v>248</v>
      </c>
      <c r="H119" s="3" t="s">
        <v>288</v>
      </c>
    </row>
    <row r="120" spans="1:8">
      <c r="A120" s="2" t="s">
        <v>390</v>
      </c>
      <c r="B120" s="12">
        <v>46300</v>
      </c>
      <c r="C120" s="2" t="s">
        <v>234</v>
      </c>
      <c r="D120" s="2" t="s">
        <v>58</v>
      </c>
      <c r="E120" s="14">
        <v>3</v>
      </c>
      <c r="F120" s="15">
        <v>35</v>
      </c>
      <c r="G120" s="2" t="s">
        <v>235</v>
      </c>
      <c r="H120" s="3" t="s">
        <v>249</v>
      </c>
    </row>
    <row r="121" spans="1:8">
      <c r="A121" s="2" t="s">
        <v>391</v>
      </c>
      <c r="B121" s="12">
        <v>46308</v>
      </c>
      <c r="C121" s="2" t="s">
        <v>238</v>
      </c>
      <c r="D121" s="2" t="s">
        <v>64</v>
      </c>
      <c r="E121" s="14">
        <v>2</v>
      </c>
      <c r="F121" s="15">
        <v>10</v>
      </c>
      <c r="G121" s="2" t="s">
        <v>248</v>
      </c>
      <c r="H121" s="3" t="s">
        <v>324</v>
      </c>
    </row>
    <row r="122" spans="1:8" ht="30">
      <c r="A122" s="2" t="s">
        <v>392</v>
      </c>
      <c r="B122" s="12">
        <v>46304</v>
      </c>
      <c r="C122" s="2" t="s">
        <v>238</v>
      </c>
      <c r="D122" s="2" t="s">
        <v>67</v>
      </c>
      <c r="E122" s="14">
        <v>2</v>
      </c>
      <c r="F122" s="15">
        <v>0</v>
      </c>
      <c r="G122" s="2" t="s">
        <v>253</v>
      </c>
      <c r="H122" s="3" t="s">
        <v>255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CED1-D742-47FC-89B0-F44C7D3FE590}">
  <dimension ref="A1:H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4" width="18.7109375" customWidth="1"/>
    <col min="5" max="5" width="22.7109375" customWidth="1"/>
    <col min="6" max="8" width="16.7109375" customWidth="1"/>
  </cols>
  <sheetData>
    <row r="1" spans="1:8" ht="24" customHeight="1">
      <c r="A1" s="33" t="s">
        <v>393</v>
      </c>
      <c r="B1" s="33"/>
      <c r="C1" s="33"/>
      <c r="D1" s="33"/>
      <c r="E1" s="33"/>
      <c r="F1" s="33"/>
      <c r="G1" s="33"/>
      <c r="H1" s="33"/>
    </row>
    <row r="2" spans="1:8" ht="32.25" customHeight="1">
      <c r="A2" s="9" t="s">
        <v>228</v>
      </c>
      <c r="B2" s="9" t="s">
        <v>394</v>
      </c>
      <c r="C2" s="9" t="s">
        <v>395</v>
      </c>
      <c r="D2" s="9" t="s">
        <v>396</v>
      </c>
      <c r="E2" s="9" t="s">
        <v>397</v>
      </c>
      <c r="F2" s="9" t="s">
        <v>398</v>
      </c>
      <c r="G2" s="9" t="s">
        <v>399</v>
      </c>
      <c r="H2" s="9" t="s">
        <v>400</v>
      </c>
    </row>
    <row r="3" spans="1:8">
      <c r="A3" s="2" t="s">
        <v>234</v>
      </c>
      <c r="B3" s="10">
        <v>95</v>
      </c>
      <c r="C3" s="10">
        <v>91</v>
      </c>
      <c r="D3" s="10">
        <v>84</v>
      </c>
      <c r="E3" s="10">
        <v>77</v>
      </c>
      <c r="F3" s="10">
        <v>72</v>
      </c>
      <c r="G3" s="11">
        <f t="shared" ref="G3" si="0">IF(B3=0,0,F3/B3)</f>
        <v>0.75789473684210529</v>
      </c>
      <c r="H3" s="10">
        <f t="shared" ref="H3" si="1">MAX(0,ROUNDUP(B3*$B$10-F3,0))</f>
        <v>14</v>
      </c>
    </row>
    <row r="4" spans="1:8">
      <c r="A4" s="2" t="s">
        <v>244</v>
      </c>
      <c r="B4" s="10">
        <v>110</v>
      </c>
      <c r="C4" s="10">
        <v>104</v>
      </c>
      <c r="D4" s="10">
        <v>88</v>
      </c>
      <c r="E4" s="10">
        <v>79</v>
      </c>
      <c r="F4" s="10">
        <v>74</v>
      </c>
      <c r="G4" s="11">
        <f>IF(B4=0,0,F4/B4)</f>
        <v>0.67272727272727273</v>
      </c>
      <c r="H4" s="10">
        <f>MAX(0,ROUNDUP(B4*$B$10-F4,0))</f>
        <v>25</v>
      </c>
    </row>
    <row r="5" spans="1:8">
      <c r="A5" s="2" t="s">
        <v>241</v>
      </c>
      <c r="B5" s="10">
        <v>175</v>
      </c>
      <c r="C5" s="10">
        <v>139</v>
      </c>
      <c r="D5" s="10">
        <v>101</v>
      </c>
      <c r="E5" s="10">
        <v>83</v>
      </c>
      <c r="F5" s="10">
        <v>70</v>
      </c>
      <c r="G5" s="11">
        <f>IF(B5=0,0,F5/B5)</f>
        <v>0.4</v>
      </c>
      <c r="H5" s="10">
        <f>MAX(0,ROUNDUP(B5*$B$10-F5,0))</f>
        <v>88</v>
      </c>
    </row>
    <row r="6" spans="1:8">
      <c r="A6" s="2" t="s">
        <v>238</v>
      </c>
      <c r="B6" s="10">
        <v>220</v>
      </c>
      <c r="C6" s="10">
        <v>176</v>
      </c>
      <c r="D6" s="10">
        <v>123</v>
      </c>
      <c r="E6" s="10">
        <v>118</v>
      </c>
      <c r="F6" s="10">
        <v>96</v>
      </c>
      <c r="G6" s="11">
        <f>IF(B6=0,0,F6/B6)</f>
        <v>0.43636363636363634</v>
      </c>
      <c r="H6" s="10">
        <f>MAX(0,ROUNDUP(B6*$B$10-F6,0))</f>
        <v>102</v>
      </c>
    </row>
    <row r="7" spans="1:8">
      <c r="A7" s="16" t="s">
        <v>401</v>
      </c>
      <c r="B7" s="17">
        <f>SUM(B3:B6)</f>
        <v>600</v>
      </c>
      <c r="C7" s="17">
        <f>SUM(C3:C6)</f>
        <v>510</v>
      </c>
      <c r="D7" s="17">
        <f>SUM(D3:D6)</f>
        <v>396</v>
      </c>
      <c r="E7" s="17">
        <f>SUM(E3:E6)</f>
        <v>357</v>
      </c>
      <c r="F7" s="17">
        <f>SUM(F3:F6)</f>
        <v>312</v>
      </c>
      <c r="G7" s="18">
        <f>IF(B7=0,0,F7/B7)</f>
        <v>0.52</v>
      </c>
      <c r="H7" s="17">
        <f>SUM(H3:H6)</f>
        <v>229</v>
      </c>
    </row>
    <row r="10" spans="1:8">
      <c r="A10" s="19" t="s">
        <v>402</v>
      </c>
      <c r="B10" s="20">
        <v>0.9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i:0#.f|membership|loretteroos@microsoft.com</cp:lastModifiedBy>
  <cp:revision/>
  <dcterms:created xsi:type="dcterms:W3CDTF">2026-10-19T04:55:16Z</dcterms:created>
  <dcterms:modified xsi:type="dcterms:W3CDTF">2026-10-21T09:30:49Z</dcterms:modified>
  <cp:category/>
  <cp:contentStatus/>
</cp:coreProperties>
</file>