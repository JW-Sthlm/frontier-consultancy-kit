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https://microsofteur-my.sharepoint.com/personal/loretteroos_microsoft_com/Documents/Documents/Cowork/Tasks/create-copilot-presentation-deck-for-2026-10-05/output/Frontier Test Pack/"/>
    </mc:Choice>
  </mc:AlternateContent>
  <xr:revisionPtr revIDLastSave="59" documentId="13_ncr:101_{13F75EF9-727D-4C35-B66D-2DA893A59408}" xr6:coauthVersionLast="47" xr6:coauthVersionMax="47" xr10:uidLastSave="{CF06F67C-7A8F-481B-916A-FEB4ABFF90A8}"/>
  <bookViews>
    <workbookView xWindow="-23150" yWindow="-110" windowWidth="23260" windowHeight="14860" xr2:uid="{00000000-000D-0000-FFFF-FFFF00000000}"/>
  </bookViews>
  <sheets>
    <sheet name="Read me" sheetId="1" r:id="rId1"/>
    <sheet name="Bid Pipeline" sheetId="2" r:id="rId2"/>
    <sheet name="Architect Capacity" sheetId="3" r:id="rId3"/>
    <sheet name="Win-Loss History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4" l="1"/>
  <c r="B29" i="4"/>
  <c r="C28" i="4"/>
  <c r="B28" i="4"/>
  <c r="C27" i="4"/>
  <c r="B27" i="4"/>
  <c r="C26" i="4"/>
  <c r="B26" i="4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P37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P35" i="3"/>
  <c r="P34" i="3"/>
  <c r="P33" i="3"/>
  <c r="P32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P30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P28" i="3"/>
  <c r="P27" i="3"/>
  <c r="P26" i="3"/>
  <c r="P25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P23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P21" i="3"/>
  <c r="P20" i="3"/>
  <c r="P19" i="3"/>
  <c r="P18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P16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P14" i="3"/>
  <c r="P13" i="3"/>
  <c r="P12" i="3"/>
  <c r="P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P9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P7" i="3"/>
  <c r="P6" i="3"/>
  <c r="P5" i="3"/>
  <c r="P4" i="3"/>
  <c r="J16" i="2"/>
  <c r="I16" i="2"/>
  <c r="D16" i="2"/>
  <c r="B16" i="2"/>
  <c r="J15" i="2"/>
  <c r="J14" i="2"/>
  <c r="J13" i="2"/>
  <c r="J12" i="2"/>
  <c r="J11" i="2"/>
  <c r="J10" i="2"/>
  <c r="J9" i="2"/>
  <c r="J8" i="2"/>
  <c r="J7" i="2"/>
  <c r="J6" i="2"/>
  <c r="J5" i="2"/>
  <c r="J4" i="2"/>
</calcChain>
</file>

<file path=xl/sharedStrings.xml><?xml version="1.0" encoding="utf-8"?>
<sst xmlns="http://schemas.openxmlformats.org/spreadsheetml/2006/main" count="356" uniqueCount="233">
  <si>
    <t>Frontier Bid Pipeline and Capacity</t>
  </si>
  <si>
    <t>Fictitious test data – Copilot for Frontier Consultancy scenario testing</t>
  </si>
  <si>
    <t>Item</t>
  </si>
  <si>
    <t>Detail</t>
  </si>
  <si>
    <t>Purpose</t>
  </si>
  <si>
    <t>Frontier Consulting's active bid pipeline, architect capacity and past win/loss record (Business Applications practice, owner Lorette Roos; bid manager Sara Haddad). Used in test scenarios where Copilot assesses go/no-go, bid resourcing and capacity risk for the Zava bid (ZAV-RFP-2026-014, due Mon 9 Nov 2026 12:00).</t>
  </si>
  <si>
    <t>Test-data notice</t>
  </si>
  <si>
    <t>Fictitious test data – Copilot for Frontier Consultancy scenario testing. All companies, people and figures are fictitious.</t>
  </si>
  <si>
    <t>As at</t>
  </si>
  <si>
    <t>Monday 19 Oct 2026 (Dubai, UTC+4). Currency AED excl. VAT.</t>
  </si>
  <si>
    <t>Key capacity finding</t>
  </si>
  <si>
    <t>Omar Khalil (Lead Solution Architect) is over-allocated in the weeks commencing 26 Oct and 2 Nov 2026 – see Architect Capacity.</t>
  </si>
  <si>
    <t>Sheet map</t>
  </si>
  <si>
    <t xml:space="preserve">  Bid Pipeline</t>
  </si>
  <si>
    <t>12 active pursuits with value, products, due date, bid manager, architect, win probability, weighted value (formula) and status. Zava row highlighted.</t>
  </si>
  <si>
    <t xml:space="preserve">  Architect Capacity</t>
  </si>
  <si>
    <t>Days allocated per week (5 Oct – 28 Dec 2026) for Omar Khalil, James Okafor, Lina Mansour, Rahul Verma and Arjun Mehta; totals and utilisation by formula; &gt;100% highlighted red.</t>
  </si>
  <si>
    <t xml:space="preserve">  Win-Loss History</t>
  </si>
  <si>
    <t>20 decided bids with outcome, primary reason, competitor and lesson learned; win-rate summary by formula.</t>
  </si>
  <si>
    <t>Frontier Consulting – active bid pipeline (as at Mon 19 Oct 2026)</t>
  </si>
  <si>
    <t>Business Applications practice · Values in AED excl. VAT · Fictitious test data – Copilot for Frontier Consultancy scenario testing</t>
  </si>
  <si>
    <t>Bid ID</t>
  </si>
  <si>
    <t>Customer</t>
  </si>
  <si>
    <t>Customer RFP / ref</t>
  </si>
  <si>
    <t>Value AED</t>
  </si>
  <si>
    <t>Products</t>
  </si>
  <si>
    <t>Due date</t>
  </si>
  <si>
    <t>Bid manager</t>
  </si>
  <si>
    <t>Architect</t>
  </si>
  <si>
    <t>Win probability</t>
  </si>
  <si>
    <t>Weighted value AED</t>
  </si>
  <si>
    <t>Status</t>
  </si>
  <si>
    <t>FC-BID-2026-031</t>
  </si>
  <si>
    <t>Zava LLC</t>
  </si>
  <si>
    <t>ZAV-RFP-2026-014</t>
  </si>
  <si>
    <t>D365 Sales, D365 Customer Service, Customer Insights – Journeys, D365 Finance &amp; SCM, Power BI, integrations</t>
  </si>
  <si>
    <t>Sara Haddad</t>
  </si>
  <si>
    <t>Omar Khalil (lead), James Okafor (Finance &amp; SCM)</t>
  </si>
  <si>
    <t>Response in preparation – clarifications due 22 Oct 17:00; response due 9 Nov 12:00</t>
  </si>
  <si>
    <t>FC-BID-2026-027</t>
  </si>
  <si>
    <t>Zava Trading Middle East</t>
  </si>
  <si>
    <t>ZAV-CS-2026-03</t>
  </si>
  <si>
    <t>D365 Customer Service, D365 Contact Center</t>
  </si>
  <si>
    <t>Omar Khalil</t>
  </si>
  <si>
    <t>Response in preparation</t>
  </si>
  <si>
    <t>FC-BID-2026-028</t>
  </si>
  <si>
    <t>Zava Banking Gulf</t>
  </si>
  <si>
    <t>ZAV-PP-0921</t>
  </si>
  <si>
    <t>Power Platform CoE, Copilot Studio agents</t>
  </si>
  <si>
    <t>Lorette Roos</t>
  </si>
  <si>
    <t>FC-BID-2026-029</t>
  </si>
  <si>
    <t>ZAV-HZN CR-007</t>
  </si>
  <si>
    <t>D365 Finance – intercompany auto-settlement for ZVQA (18 days)</t>
  </si>
  <si>
    <t>Priya Nair</t>
  </si>
  <si>
    <t>James Okafor</t>
  </si>
  <si>
    <t>Change request estimate in review</t>
  </si>
  <si>
    <t>FC-BID-2026-030</t>
  </si>
  <si>
    <t>ZAV-HZN CR-008</t>
  </si>
  <si>
    <t>Power Pages customer portal for shipment tracking (45 days)</t>
  </si>
  <si>
    <t>Arjun Mehta</t>
  </si>
  <si>
    <t>Change request estimate in preparation</t>
  </si>
  <si>
    <t>FC-BID-2026-024</t>
  </si>
  <si>
    <t>Zava Telecom</t>
  </si>
  <si>
    <t>ZAV-RFP-2026-07</t>
  </si>
  <si>
    <t>D365 Contact Center, Copilot Studio</t>
  </si>
  <si>
    <t>Submitted 12 Oct – awaiting shortlist</t>
  </si>
  <si>
    <t>FC-BID-2026-032</t>
  </si>
  <si>
    <t>Zava Leisure &amp; Resorts</t>
  </si>
  <si>
    <t>ZAV-CRM-2026</t>
  </si>
  <si>
    <t>D365 Sales, Customer Insights – Journeys</t>
  </si>
  <si>
    <t>Lina Mansour</t>
  </si>
  <si>
    <t>RFP received – go/no-go 21 Oct</t>
  </si>
  <si>
    <t>FC-BID-2026-033</t>
  </si>
  <si>
    <t>Zava Healthcare Group</t>
  </si>
  <si>
    <t>ZAV-COP-01</t>
  </si>
  <si>
    <t>M365 Copilot adoption (1,000 licences), Copilot Studio</t>
  </si>
  <si>
    <t>FC-BID-2026-034</t>
  </si>
  <si>
    <t>Zava Aviation Services</t>
  </si>
  <si>
    <t>ZAV-ERP-2026-02</t>
  </si>
  <si>
    <t>D365 Finance &amp; SCM, Power BI</t>
  </si>
  <si>
    <t>RFP received</t>
  </si>
  <si>
    <t>FC-BID-2026-035</t>
  </si>
  <si>
    <t>Zava Industries KSA</t>
  </si>
  <si>
    <t>ZAV-FIN-118</t>
  </si>
  <si>
    <t>D365 Finance, ZATCA e-invoicing</t>
  </si>
  <si>
    <t>FC-BID-2026-036</t>
  </si>
  <si>
    <t>Zava Importers Oman</t>
  </si>
  <si>
    <t>ZAV-OM-2026</t>
  </si>
  <si>
    <t>D365 Finance &amp; SCM (upgrade from Business Central)</t>
  </si>
  <si>
    <t>James Okafor, Rahul Verma</t>
  </si>
  <si>
    <t>Qualifying – RFP expected 26 Oct</t>
  </si>
  <si>
    <t>FC-BID-2026-037</t>
  </si>
  <si>
    <t>Zava Coffee Arabia</t>
  </si>
  <si>
    <t>ZAV-RFI-09</t>
  </si>
  <si>
    <t>D365 Sales, D365 Field Service</t>
  </si>
  <si>
    <t>Qualifying – RFI submitted</t>
  </si>
  <si>
    <t>Total</t>
  </si>
  <si>
    <t>Architect &amp; solution-lead capacity by week – Oct to Dec 2026 (days)</t>
  </si>
  <si>
    <t>Week commencing Monday · Capacity = 5 days less public holidays (UAE National Day week 30 Nov: 3 days; week 28 Dec: 4 days) and planned leave · Utilisation &gt; 100% = over-allocated · Fictitious test data – Copilot for Frontier Consultancy scenario testing</t>
  </si>
  <si>
    <t>Person</t>
  </si>
  <si>
    <t>Allocation</t>
  </si>
  <si>
    <t>Q4 total (days)</t>
  </si>
  <si>
    <t>Weeks over 100%</t>
  </si>
  <si>
    <t>Zava Horizon (ZAV-HZN) – CE design authority</t>
  </si>
  <si>
    <t>Zava ZAV-RFP-2026-014 bid</t>
  </si>
  <si>
    <t>Other bids &amp; orals</t>
  </si>
  <si>
    <t>Practice / internal</t>
  </si>
  <si>
    <t>Total allocated</t>
  </si>
  <si>
    <t>Capacity (days)</t>
  </si>
  <si>
    <t>Utilisation %</t>
  </si>
  <si>
    <t>Zava Horizon (ZAV-HZN) – Finance workstream</t>
  </si>
  <si>
    <t>Zava Horizon (ZAV-HZN) – Sales &amp; Service CE</t>
  </si>
  <si>
    <t>Rahul Verma</t>
  </si>
  <si>
    <t>Zava Horizon (ZAV-HZN) – Supply Chain &amp; Warehousing</t>
  </si>
  <si>
    <t>Zava Horizon (ZAV-HZN) – Integration (CargoWise)</t>
  </si>
  <si>
    <t>Note</t>
  </si>
  <si>
    <t>Omar Khalil is over-allocated in the weeks of 26 Oct and 2 Nov 2026 (Zava ZAV-RFP-2026-014 response writing overlaps Zava Trading Middle East and Zava Banking Gulf submissions and Zava design authority).</t>
  </si>
  <si>
    <t>Past bids – win/loss record with reasons (last 20 decided bids)</t>
  </si>
  <si>
    <t>Values in AED excl. VAT · Fictitious test data – Copilot for Frontier Consultancy scenario testing</t>
  </si>
  <si>
    <t>Submitted</t>
  </si>
  <si>
    <t>Decision date</t>
  </si>
  <si>
    <t>Outcome</t>
  </si>
  <si>
    <t>Primary reason</t>
  </si>
  <si>
    <t>Competitor / winner</t>
  </si>
  <si>
    <t>Lesson learned</t>
  </si>
  <si>
    <t>FC-BID-2024-019</t>
  </si>
  <si>
    <t>Zava Industrial Distribution LLC</t>
  </si>
  <si>
    <t>D365 Sales, Customer Service, Finance</t>
  </si>
  <si>
    <t>Won</t>
  </si>
  <si>
    <t>Strong distribution references and scripted demo of quote-to-cash</t>
  </si>
  <si>
    <t>—</t>
  </si>
  <si>
    <t>Scripted demo built on customer's own data was decisive</t>
  </si>
  <si>
    <t>FC-BID-2025-002</t>
  </si>
  <si>
    <t>Zava Winery &amp; Foods Gulf</t>
  </si>
  <si>
    <t>D365 Finance &amp; SCM</t>
  </si>
  <si>
    <t>Lost</t>
  </si>
  <si>
    <t>Price – 18% above winning bid</t>
  </si>
  <si>
    <t>Global SI</t>
  </si>
  <si>
    <t>Fixed price too cautious on data migration contingency</t>
  </si>
  <si>
    <t>FC-BID-2025-004</t>
  </si>
  <si>
    <t>D365 F&amp;O, Sales, Customer Service, M365 Copilot</t>
  </si>
  <si>
    <t>Multi-entity GCC finance expertise and named team</t>
  </si>
  <si>
    <t>Became programme Zava Horizon (ZAV-HZN)</t>
  </si>
  <si>
    <t>FC-BID-2025-006</t>
  </si>
  <si>
    <t>Zava Healthcare Clinics</t>
  </si>
  <si>
    <t>D365 Customer Service</t>
  </si>
  <si>
    <t>Incumbent relationship – customer extended existing CRM</t>
  </si>
  <si>
    <t>Incumbent vendor</t>
  </si>
  <si>
    <t>Qualify incumbent risk harder at go/no-go</t>
  </si>
  <si>
    <t>FC-BID-2025-008</t>
  </si>
  <si>
    <t>Zava Retail ME</t>
  </si>
  <si>
    <t>Best marketing consent &amp; journeys demo</t>
  </si>
  <si>
    <t>Arabic journey templates shown live</t>
  </si>
  <si>
    <t>FC-BID-2025-010</t>
  </si>
  <si>
    <t>Zava Research Labs</t>
  </si>
  <si>
    <t>Power Platform, Copilot Studio</t>
  </si>
  <si>
    <t>Speed – POC delivered in 2 weeks</t>
  </si>
  <si>
    <t>Fast POC is a differentiator for Power Platform</t>
  </si>
  <si>
    <t>FC-BID-2025-012</t>
  </si>
  <si>
    <t>Zava Insurance Gulf</t>
  </si>
  <si>
    <t>D365 Customer Service, Contact Center</t>
  </si>
  <si>
    <t>Functional fit – no native WhatsApp SLA handling shown</t>
  </si>
  <si>
    <t>Specialist CX partner</t>
  </si>
  <si>
    <t>Prepare WhatsApp channel demo and SLA workaround</t>
  </si>
  <si>
    <t>FC-BID-2025-014</t>
  </si>
  <si>
    <t>Zava Manufacturing KSA</t>
  </si>
  <si>
    <t>D365 Finance &amp; SCM, ZATCA</t>
  </si>
  <si>
    <t>Local KSA presence and ZATCA references</t>
  </si>
  <si>
    <t>Saudi-based partner</t>
  </si>
  <si>
    <t>Need KSA ZATCA reference before next KSA bid</t>
  </si>
  <si>
    <t>FC-BID-2025-016</t>
  </si>
  <si>
    <t>Zava Publishing</t>
  </si>
  <si>
    <t>M365 Copilot adoption</t>
  </si>
  <si>
    <t>Adoption methodology and change team (Tom Becker)</t>
  </si>
  <si>
    <t>Copilot adoption offer resonates</t>
  </si>
  <si>
    <t>FC-BID-2025-018</t>
  </si>
  <si>
    <t>Zava Corporate Services Gulf</t>
  </si>
  <si>
    <t>D365 Sales</t>
  </si>
  <si>
    <t>Price</t>
  </si>
  <si>
    <t>Offshore delivery partner</t>
  </si>
  <si>
    <t>Consider blended onshore/offshore rate card</t>
  </si>
  <si>
    <t>FC-BID-2025-021</t>
  </si>
  <si>
    <t>Zava Airlines Cargo</t>
  </si>
  <si>
    <t>D365 Finance, Power BI</t>
  </si>
  <si>
    <t>Team availability – proposed architect not available until Q1</t>
  </si>
  <si>
    <t>Capacity conflicts on architects cost the bid</t>
  </si>
  <si>
    <t>FC-BID-2025-023</t>
  </si>
  <si>
    <t>Zava Design Institute</t>
  </si>
  <si>
    <t>D365 Sales, Customer Service</t>
  </si>
  <si>
    <t>Fixed price and fast start</t>
  </si>
  <si>
    <t>Small CE projects win on certainty</t>
  </si>
  <si>
    <t>FC-BID-2025-026</t>
  </si>
  <si>
    <t>Zava Construction Supplies</t>
  </si>
  <si>
    <t>D365 Sales, Finance &amp; SCM, rental</t>
  </si>
  <si>
    <t>Functional fit – rental management and telematics billing gap</t>
  </si>
  <si>
    <t>ISV-led partner with rental solution</t>
  </si>
  <si>
    <t>Partner with a rental ISV for equipment-rental bids</t>
  </si>
  <si>
    <t>FC-BID-2025-029</t>
  </si>
  <si>
    <t>Zava Courier Services</t>
  </si>
  <si>
    <t>D365 Customer Service, Copilot Studio</t>
  </si>
  <si>
    <t>Copilot agent demo and CSAT case study</t>
  </si>
  <si>
    <t>AI-first demo scored highest</t>
  </si>
  <si>
    <t>FC-BID-2025-031</t>
  </si>
  <si>
    <t>Zava College</t>
  </si>
  <si>
    <t>Dynamics 365 Sales, Power Pages</t>
  </si>
  <si>
    <t>Customer chose not to proceed (budget)</t>
  </si>
  <si>
    <t>No award</t>
  </si>
  <si>
    <t>FC-BID-2026-003</t>
  </si>
  <si>
    <t>Zava Travel Group</t>
  </si>
  <si>
    <t>Arabic RTL marketing content and consent approach</t>
  </si>
  <si>
    <t>Bilingual capability is a differentiator</t>
  </si>
  <si>
    <t>FC-BID-2026-006</t>
  </si>
  <si>
    <t>Zava Toys Distribution</t>
  </si>
  <si>
    <t>Price – estimate 22% higher than winner, driven by integrations and data migration</t>
  </si>
  <si>
    <t>Historical overruns made us pad integrations; benchmark with actuals</t>
  </si>
  <si>
    <t>FC-BID-2026-009</t>
  </si>
  <si>
    <t>Zava Architects</t>
  </si>
  <si>
    <t>Power Platform, M365 Copilot</t>
  </si>
  <si>
    <t>Existing M365 relationship</t>
  </si>
  <si>
    <t>Cross-sell from M365 base</t>
  </si>
  <si>
    <t>FC-BID-2026-012</t>
  </si>
  <si>
    <t>Zava Building Materials</t>
  </si>
  <si>
    <t>Late, incomplete clarification questions; weak functional-fit response</t>
  </si>
  <si>
    <t>Start Appendix A responses in week 1; submit clarifications on time</t>
  </si>
  <si>
    <t>FC-BID-2026-015</t>
  </si>
  <si>
    <t>Zava Pharmaceuticals ME</t>
  </si>
  <si>
    <t>SLA design and Copilot case summarisation</t>
  </si>
  <si>
    <t>Reusable service accelerator</t>
  </si>
  <si>
    <t>Summary</t>
  </si>
  <si>
    <t>Count</t>
  </si>
  <si>
    <t>Total decided</t>
  </si>
  <si>
    <t>Win rate (by count)</t>
  </si>
  <si>
    <t>Win rate (by value)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</si>
</sst>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\ d\ mmm\ yyyy"/>
    <numFmt numFmtId="165" formatCode="d\ mmm"/>
    <numFmt numFmtId="166" formatCode="0.0"/>
    <numFmt numFmtId="167" formatCode="d\ mmm\ yyyy"/>
  </numFmts>
  <fonts count="9">
    <font>
      <sz val="11"/>
      <color theme="1"/>
      <name val="Calibri"/>
      <family val="2"/>
      <scheme val="minor"/>
    </font>
    <font>
      <b/>
      <sz val="16"/>
      <color rgb="FF1F2A5C"/>
      <name val="Aptos"/>
    </font>
    <font>
      <b/>
      <sz val="11"/>
      <color rgb="FFFFFFFF"/>
      <name val="Aptos"/>
    </font>
    <font>
      <sz val="11"/>
      <color theme="1"/>
      <name val="Aptos"/>
    </font>
    <font>
      <b/>
      <sz val="11"/>
      <color theme="1"/>
      <name val="Aptos"/>
    </font>
    <font>
      <i/>
      <sz val="9"/>
      <color rgb="FF6B7280"/>
      <name val="Aptos"/>
    </font>
    <font>
      <b/>
      <sz val="14"/>
      <color rgb="FF1F2A5C"/>
      <name val="Aptos"/>
    </font>
    <font>
      <sz val="11"/>
      <color rgb="FF0000FF"/>
      <name val="Aptos"/>
    </font>
    <font>
      <i/>
      <sz val="11"/>
      <color theme="1"/>
      <name val="Aptos"/>
    </font>
  </fonts>
  <fills count="6">
    <fill>
      <patternFill patternType="none"/>
    </fill>
    <fill>
      <patternFill patternType="gray125"/>
    </fill>
    <fill>
      <patternFill patternType="solid">
        <fgColor rgb="FF1F2A5C"/>
        <bgColor indexed="64"/>
      </patternFill>
    </fill>
    <fill>
      <patternFill patternType="solid">
        <fgColor rgb="FFEEF1F8"/>
        <bgColor indexed="64"/>
      </patternFill>
    </fill>
    <fill>
      <patternFill patternType="solid">
        <fgColor rgb="FF4FD1C5"/>
        <bgColor indexed="64"/>
      </patternFill>
    </fill>
    <fill>
      <patternFill patternType="solid">
        <fgColor rgb="FFFFF4CC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D1D5DB"/>
      </top>
      <bottom/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/>
      <bottom/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/>
      <bottom style="medium">
        <color rgb="FF1F2A5C"/>
      </bottom>
      <diagonal/>
    </border>
    <border>
      <left/>
      <right/>
      <top/>
      <bottom style="medium">
        <color rgb="FF1F2A5C"/>
      </bottom>
      <diagonal/>
    </border>
    <border>
      <left/>
      <right style="thin">
        <color rgb="FFD1D5DB"/>
      </right>
      <top/>
      <bottom style="medium">
        <color rgb="FF1F2A5C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3" xfId="0" applyFont="1" applyBorder="1" applyAlignment="1">
      <alignment vertical="top"/>
    </xf>
    <xf numFmtId="0" fontId="3" fillId="0" borderId="6" xfId="0" applyFont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3" fillId="0" borderId="7" xfId="0" applyFont="1" applyBorder="1" applyAlignment="1">
      <alignment vertical="top" wrapText="1"/>
    </xf>
    <xf numFmtId="0" fontId="4" fillId="3" borderId="4" xfId="0" applyFont="1" applyFill="1" applyBorder="1" applyAlignment="1">
      <alignment vertical="top"/>
    </xf>
    <xf numFmtId="0" fontId="4" fillId="3" borderId="7" xfId="0" applyFont="1" applyFill="1" applyBorder="1" applyAlignment="1">
      <alignment vertical="top" wrapText="1"/>
    </xf>
    <xf numFmtId="0" fontId="4" fillId="0" borderId="5" xfId="0" applyFont="1" applyBorder="1" applyAlignment="1">
      <alignment vertical="top"/>
    </xf>
    <xf numFmtId="0" fontId="3" fillId="0" borderId="8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vertical="top"/>
    </xf>
    <xf numFmtId="0" fontId="3" fillId="5" borderId="0" xfId="0" applyFont="1" applyFill="1" applyAlignment="1">
      <alignment vertical="top"/>
    </xf>
    <xf numFmtId="3" fontId="3" fillId="5" borderId="0" xfId="0" applyNumberFormat="1" applyFont="1" applyFill="1" applyAlignment="1">
      <alignment vertical="top"/>
    </xf>
    <xf numFmtId="0" fontId="3" fillId="5" borderId="0" xfId="0" applyFont="1" applyFill="1" applyAlignment="1">
      <alignment vertical="top" wrapText="1"/>
    </xf>
    <xf numFmtId="164" fontId="3" fillId="5" borderId="0" xfId="0" applyNumberFormat="1" applyFont="1" applyFill="1" applyAlignment="1">
      <alignment horizontal="center" vertical="top"/>
    </xf>
    <xf numFmtId="9" fontId="3" fillId="5" borderId="0" xfId="0" applyNumberFormat="1" applyFont="1" applyFill="1" applyAlignment="1">
      <alignment horizontal="center" vertical="top"/>
    </xf>
    <xf numFmtId="0" fontId="3" fillId="5" borderId="7" xfId="0" applyFont="1" applyFill="1" applyBorder="1" applyAlignment="1">
      <alignment vertical="top" wrapText="1"/>
    </xf>
    <xf numFmtId="0" fontId="3" fillId="3" borderId="0" xfId="0" applyFont="1" applyFill="1" applyAlignment="1">
      <alignment vertical="top"/>
    </xf>
    <xf numFmtId="3" fontId="3" fillId="3" borderId="0" xfId="0" applyNumberFormat="1" applyFont="1" applyFill="1" applyAlignment="1">
      <alignment vertical="top"/>
    </xf>
    <xf numFmtId="0" fontId="3" fillId="3" borderId="0" xfId="0" applyFont="1" applyFill="1" applyAlignment="1">
      <alignment vertical="top" wrapText="1"/>
    </xf>
    <xf numFmtId="164" fontId="3" fillId="3" borderId="0" xfId="0" applyNumberFormat="1" applyFont="1" applyFill="1" applyAlignment="1">
      <alignment horizontal="center" vertical="top"/>
    </xf>
    <xf numFmtId="9" fontId="3" fillId="3" borderId="0" xfId="0" applyNumberFormat="1" applyFont="1" applyFill="1" applyAlignment="1">
      <alignment horizontal="center" vertical="top"/>
    </xf>
    <xf numFmtId="0" fontId="3" fillId="3" borderId="7" xfId="0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3" fontId="3" fillId="0" borderId="0" xfId="0" applyNumberFormat="1" applyFont="1" applyAlignment="1">
      <alignment vertical="top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horizontal="center" vertical="top"/>
    </xf>
    <xf numFmtId="9" fontId="3" fillId="0" borderId="0" xfId="0" applyNumberFormat="1" applyFont="1" applyAlignment="1">
      <alignment horizontal="center" vertical="top"/>
    </xf>
    <xf numFmtId="0" fontId="4" fillId="4" borderId="5" xfId="0" applyFont="1" applyFill="1" applyBorder="1"/>
    <xf numFmtId="0" fontId="4" fillId="4" borderId="2" xfId="0" applyFont="1" applyFill="1" applyBorder="1"/>
    <xf numFmtId="3" fontId="4" fillId="4" borderId="2" xfId="0" applyNumberFormat="1" applyFont="1" applyFill="1" applyBorder="1"/>
    <xf numFmtId="9" fontId="4" fillId="4" borderId="2" xfId="0" applyNumberFormat="1" applyFont="1" applyFill="1" applyBorder="1" applyAlignment="1">
      <alignment horizontal="center"/>
    </xf>
    <xf numFmtId="0" fontId="4" fillId="4" borderId="8" xfId="0" applyFont="1" applyFill="1" applyBorder="1"/>
    <xf numFmtId="165" fontId="2" fillId="2" borderId="0" xfId="0" applyNumberFormat="1" applyFont="1" applyFill="1" applyAlignment="1">
      <alignment horizontal="center" vertical="center" wrapText="1"/>
    </xf>
    <xf numFmtId="0" fontId="4" fillId="0" borderId="3" xfId="0" applyFont="1" applyBorder="1"/>
    <xf numFmtId="0" fontId="3" fillId="0" borderId="1" xfId="0" applyFont="1" applyBorder="1"/>
    <xf numFmtId="166" fontId="3" fillId="0" borderId="1" xfId="0" applyNumberFormat="1" applyFont="1" applyBorder="1" applyAlignment="1">
      <alignment horizontal="right"/>
    </xf>
    <xf numFmtId="0" fontId="3" fillId="0" borderId="6" xfId="0" applyFont="1" applyBorder="1"/>
    <xf numFmtId="0" fontId="4" fillId="0" borderId="4" xfId="0" applyFont="1" applyBorder="1"/>
    <xf numFmtId="166" fontId="3" fillId="0" borderId="0" xfId="0" applyNumberFormat="1" applyFont="1" applyAlignment="1">
      <alignment horizontal="right"/>
    </xf>
    <xf numFmtId="0" fontId="3" fillId="0" borderId="7" xfId="0" applyFont="1" applyBorder="1"/>
    <xf numFmtId="0" fontId="4" fillId="3" borderId="4" xfId="0" applyFont="1" applyFill="1" applyBorder="1"/>
    <xf numFmtId="0" fontId="4" fillId="3" borderId="0" xfId="0" applyFont="1" applyFill="1"/>
    <xf numFmtId="166" fontId="4" fillId="3" borderId="0" xfId="0" applyNumberFormat="1" applyFont="1" applyFill="1" applyAlignment="1">
      <alignment horizontal="right"/>
    </xf>
    <xf numFmtId="0" fontId="4" fillId="3" borderId="7" xfId="0" applyFont="1" applyFill="1" applyBorder="1"/>
    <xf numFmtId="166" fontId="7" fillId="0" borderId="0" xfId="0" applyNumberFormat="1" applyFont="1" applyAlignment="1">
      <alignment horizontal="right"/>
    </xf>
    <xf numFmtId="0" fontId="4" fillId="0" borderId="0" xfId="0" applyFont="1"/>
    <xf numFmtId="9" fontId="4" fillId="0" borderId="0" xfId="0" applyNumberFormat="1" applyFont="1" applyAlignment="1">
      <alignment horizontal="right"/>
    </xf>
    <xf numFmtId="1" fontId="4" fillId="0" borderId="7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9" fontId="4" fillId="0" borderId="10" xfId="0" applyNumberFormat="1" applyFont="1" applyBorder="1" applyAlignment="1">
      <alignment horizontal="right"/>
    </xf>
    <xf numFmtId="1" fontId="4" fillId="0" borderId="11" xfId="0" applyNumberFormat="1" applyFont="1" applyBorder="1" applyAlignment="1">
      <alignment horizontal="center"/>
    </xf>
    <xf numFmtId="0" fontId="3" fillId="0" borderId="4" xfId="0" applyFont="1" applyBorder="1" applyAlignment="1">
      <alignment vertical="top"/>
    </xf>
    <xf numFmtId="167" fontId="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3" borderId="4" xfId="0" applyFont="1" applyFill="1" applyBorder="1" applyAlignment="1">
      <alignment vertical="top"/>
    </xf>
    <xf numFmtId="167" fontId="3" fillId="3" borderId="0" xfId="0" applyNumberFormat="1" applyFont="1" applyFill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3" fillId="3" borderId="5" xfId="0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0" fontId="3" fillId="3" borderId="2" xfId="0" applyFont="1" applyFill="1" applyBorder="1" applyAlignment="1">
      <alignment vertical="top" wrapText="1"/>
    </xf>
    <xf numFmtId="3" fontId="3" fillId="3" borderId="2" xfId="0" applyNumberFormat="1" applyFont="1" applyFill="1" applyBorder="1" applyAlignment="1">
      <alignment vertical="top"/>
    </xf>
    <xf numFmtId="167" fontId="3" fillId="3" borderId="2" xfId="0" applyNumberFormat="1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0" fontId="3" fillId="3" borderId="8" xfId="0" applyFont="1" applyFill="1" applyBorder="1" applyAlignment="1">
      <alignment vertical="top" wrapText="1"/>
    </xf>
    <xf numFmtId="0" fontId="2" fillId="2" borderId="3" xfId="0" applyFont="1" applyFill="1" applyBorder="1"/>
    <xf numFmtId="0" fontId="2" fillId="2" borderId="1" xfId="0" applyFont="1" applyFill="1" applyBorder="1"/>
    <xf numFmtId="0" fontId="2" fillId="2" borderId="6" xfId="0" applyFont="1" applyFill="1" applyBorder="1"/>
    <xf numFmtId="0" fontId="3" fillId="0" borderId="4" xfId="0" applyFont="1" applyBorder="1"/>
    <xf numFmtId="3" fontId="3" fillId="0" borderId="0" xfId="0" applyNumberFormat="1" applyFont="1"/>
    <xf numFmtId="3" fontId="3" fillId="0" borderId="7" xfId="0" applyNumberFormat="1" applyFont="1" applyBorder="1"/>
    <xf numFmtId="0" fontId="4" fillId="4" borderId="4" xfId="0" applyFont="1" applyFill="1" applyBorder="1"/>
    <xf numFmtId="3" fontId="4" fillId="4" borderId="0" xfId="0" applyNumberFormat="1" applyFont="1" applyFill="1"/>
    <xf numFmtId="3" fontId="4" fillId="4" borderId="7" xfId="0" applyNumberFormat="1" applyFont="1" applyFill="1" applyBorder="1"/>
    <xf numFmtId="9" fontId="3" fillId="0" borderId="0" xfId="0" applyNumberFormat="1" applyFont="1"/>
    <xf numFmtId="0" fontId="3" fillId="0" borderId="5" xfId="0" applyFont="1" applyBorder="1"/>
    <xf numFmtId="0" fontId="3" fillId="0" borderId="2" xfId="0" applyFont="1" applyBorder="1"/>
    <xf numFmtId="9" fontId="3" fillId="0" borderId="8" xfId="0" applyNumberFormat="1" applyFont="1" applyBorder="1"/>
    <xf numFmtId="0" fontId="2" fillId="2" borderId="0" xfId="0" applyFont="1" applyFill="1" applyAlignment="1">
      <alignment horizontal="center"/>
    </xf>
    <xf numFmtId="0" fontId="8" fillId="0" borderId="0" xfId="0" applyFont="1" applyAlignment="1">
      <alignment wrapText="1"/>
    </xf>
    <xf numFmtId="0" fontId="1" fillId="0" borderId="0" xfId="0" applyFont="1" applyAlignment="1"/>
    <xf numFmtId="0" fontId="5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7">
    <dxf>
      <font>
        <color rgb="FF9B1C1C"/>
      </font>
      <fill>
        <patternFill patternType="solid">
          <fgColor indexed="64"/>
          <bgColor rgb="FFFDE2E1"/>
        </patternFill>
      </fill>
    </dxf>
    <dxf>
      <font>
        <color rgb="FF166534"/>
      </font>
      <fill>
        <patternFill patternType="solid">
          <fgColor indexed="64"/>
          <bgColor rgb="FFDCFCE7"/>
        </patternFill>
      </fill>
    </dxf>
    <dxf>
      <font>
        <b/>
        <i val="0"/>
        <color rgb="FF771D1D"/>
      </font>
      <fill>
        <patternFill patternType="solid">
          <fgColor indexed="64"/>
          <bgColor rgb="FFF8B4B4"/>
        </patternFill>
      </fill>
    </dxf>
    <dxf>
      <font>
        <b/>
        <i val="0"/>
        <color rgb="FF771D1D"/>
      </font>
      <fill>
        <patternFill patternType="solid">
          <fgColor indexed="64"/>
          <bgColor rgb="FFF8B4B4"/>
        </patternFill>
      </fill>
    </dxf>
    <dxf>
      <font>
        <b/>
        <i val="0"/>
        <color rgb="FF771D1D"/>
      </font>
      <fill>
        <patternFill patternType="solid">
          <fgColor indexed="64"/>
          <bgColor rgb="FFF8B4B4"/>
        </patternFill>
      </fill>
    </dxf>
    <dxf>
      <font>
        <b/>
        <i val="0"/>
        <color rgb="FF771D1D"/>
      </font>
      <fill>
        <patternFill patternType="solid">
          <fgColor indexed="64"/>
          <bgColor rgb="FFF8B4B4"/>
        </patternFill>
      </fill>
    </dxf>
    <dxf>
      <font>
        <b/>
        <i val="0"/>
        <color rgb="FF771D1D"/>
      </font>
      <fill>
        <patternFill patternType="solid">
          <fgColor indexed="64"/>
          <bgColor rgb="FFF8B4B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pane ySplit="4" topLeftCell="A5" activePane="bottomLeft" state="frozen"/>
      <selection pane="bottomLeft" sqref="A1:B1"/>
    </sheetView>
  </sheetViews>
  <sheetFormatPr defaultRowHeight="15"/>
  <cols>
    <col min="1" max="1" width="28.7109375" customWidth="1"/>
    <col min="2" max="2" width="100.7109375" customWidth="1"/>
  </cols>
  <sheetData>
    <row r="1" spans="1:2" ht="21">
      <c r="A1" s="85" t="s">
        <v>0</v>
      </c>
      <c r="B1" s="85"/>
    </row>
    <row r="2" spans="1:2">
      <c r="A2" s="83" t="s">
        <v>1</v>
      </c>
      <c r="B2" s="83"/>
    </row>
    <row r="3" spans="1:2">
      <c r="A3" s="2"/>
      <c r="B3" s="2"/>
    </row>
    <row r="4" spans="1:2">
      <c r="A4" s="1" t="s">
        <v>2</v>
      </c>
      <c r="B4" s="1" t="s">
        <v>3</v>
      </c>
    </row>
    <row r="5" spans="1:2" ht="43.5">
      <c r="A5" s="3" t="s">
        <v>4</v>
      </c>
      <c r="B5" s="4" t="s">
        <v>5</v>
      </c>
    </row>
    <row r="6" spans="1:2" ht="30">
      <c r="A6" s="5" t="s">
        <v>6</v>
      </c>
      <c r="B6" s="6" t="s">
        <v>7</v>
      </c>
    </row>
    <row r="7" spans="1:2">
      <c r="A7" s="5" t="s">
        <v>8</v>
      </c>
      <c r="B7" s="6" t="s">
        <v>9</v>
      </c>
    </row>
    <row r="8" spans="1:2" ht="30">
      <c r="A8" s="5" t="s">
        <v>10</v>
      </c>
      <c r="B8" s="6" t="s">
        <v>11</v>
      </c>
    </row>
    <row r="9" spans="1:2">
      <c r="A9" s="7" t="s">
        <v>12</v>
      </c>
      <c r="B9" s="8"/>
    </row>
    <row r="10" spans="1:2" ht="29.25">
      <c r="A10" s="5" t="s">
        <v>13</v>
      </c>
      <c r="B10" s="6" t="s">
        <v>14</v>
      </c>
    </row>
    <row r="11" spans="1:2" ht="30">
      <c r="A11" s="5" t="s">
        <v>15</v>
      </c>
      <c r="B11" s="6" t="s">
        <v>16</v>
      </c>
    </row>
    <row r="12" spans="1:2" ht="30">
      <c r="A12" s="9" t="s">
        <v>17</v>
      </c>
      <c r="B12" s="10" t="s">
        <v>18</v>
      </c>
    </row>
    <row r="13" spans="1:2">
      <c r="A13" s="2"/>
      <c r="B13" s="2"/>
    </row>
    <row r="14" spans="1:2">
      <c r="A14" s="86" t="s">
        <v>1</v>
      </c>
      <c r="B14" s="86"/>
    </row>
  </sheetData>
  <mergeCells count="3">
    <mergeCell ref="A1:B1"/>
    <mergeCell ref="A2:B2"/>
    <mergeCell ref="A14: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904C-EEA3-46A0-8F86-A3FCE1A39B81}">
  <dimension ref="A1:K16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17.7109375" customWidth="1"/>
    <col min="2" max="2" width="30.7109375" customWidth="1"/>
    <col min="3" max="3" width="20.7109375" customWidth="1"/>
    <col min="4" max="4" width="14.7109375" customWidth="1"/>
    <col min="5" max="5" width="46.7109375" customWidth="1"/>
    <col min="6" max="6" width="17.7109375" customWidth="1"/>
    <col min="7" max="7" width="14.7109375" customWidth="1"/>
    <col min="8" max="8" width="30.7109375" customWidth="1"/>
    <col min="9" max="9" width="12.7109375" customWidth="1"/>
    <col min="10" max="10" width="17.7109375" customWidth="1"/>
    <col min="11" max="11" width="44.7109375" customWidth="1"/>
  </cols>
  <sheetData>
    <row r="1" spans="1:11" ht="18.75">
      <c r="A1" s="87" t="s">
        <v>19</v>
      </c>
      <c r="B1" s="87"/>
      <c r="C1" s="87"/>
      <c r="D1" s="87"/>
      <c r="E1" s="87"/>
      <c r="F1" s="87"/>
      <c r="G1" s="87"/>
      <c r="H1" s="87"/>
      <c r="I1" s="87"/>
      <c r="J1" s="87"/>
      <c r="K1" s="87"/>
    </row>
    <row r="2" spans="1:11">
      <c r="A2" s="86" t="s">
        <v>20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3" spans="1:11" ht="30">
      <c r="A3" s="12" t="s">
        <v>21</v>
      </c>
      <c r="B3" s="11" t="s">
        <v>22</v>
      </c>
      <c r="C3" s="11" t="s">
        <v>23</v>
      </c>
      <c r="D3" s="11" t="s">
        <v>24</v>
      </c>
      <c r="E3" s="11" t="s">
        <v>25</v>
      </c>
      <c r="F3" s="11" t="s">
        <v>26</v>
      </c>
      <c r="G3" s="11" t="s">
        <v>27</v>
      </c>
      <c r="H3" s="11" t="s">
        <v>28</v>
      </c>
      <c r="I3" s="11" t="s">
        <v>29</v>
      </c>
      <c r="J3" s="11" t="s">
        <v>30</v>
      </c>
      <c r="K3" s="13" t="s">
        <v>31</v>
      </c>
    </row>
    <row r="4" spans="1:11" ht="45">
      <c r="A4" s="14" t="s">
        <v>32</v>
      </c>
      <c r="B4" s="15" t="s">
        <v>33</v>
      </c>
      <c r="C4" s="15" t="s">
        <v>34</v>
      </c>
      <c r="D4" s="16">
        <v>9800000</v>
      </c>
      <c r="E4" s="17" t="s">
        <v>35</v>
      </c>
      <c r="F4" s="18">
        <v>46335</v>
      </c>
      <c r="G4" s="15" t="s">
        <v>36</v>
      </c>
      <c r="H4" s="17" t="s">
        <v>37</v>
      </c>
      <c r="I4" s="19">
        <v>0.4</v>
      </c>
      <c r="J4" s="16">
        <f t="shared" ref="J4:J15" si="0">D4*I4</f>
        <v>3920000</v>
      </c>
      <c r="K4" s="20" t="s">
        <v>38</v>
      </c>
    </row>
    <row r="5" spans="1:11">
      <c r="A5" s="7" t="s">
        <v>39</v>
      </c>
      <c r="B5" s="21" t="s">
        <v>40</v>
      </c>
      <c r="C5" s="21" t="s">
        <v>41</v>
      </c>
      <c r="D5" s="22">
        <v>1850000</v>
      </c>
      <c r="E5" s="23" t="s">
        <v>42</v>
      </c>
      <c r="F5" s="24">
        <v>46325</v>
      </c>
      <c r="G5" s="21" t="s">
        <v>36</v>
      </c>
      <c r="H5" s="23" t="s">
        <v>43</v>
      </c>
      <c r="I5" s="25">
        <v>0.5</v>
      </c>
      <c r="J5" s="22">
        <f t="shared" si="0"/>
        <v>925000</v>
      </c>
      <c r="K5" s="26" t="s">
        <v>44</v>
      </c>
    </row>
    <row r="6" spans="1:11">
      <c r="A6" s="5" t="s">
        <v>45</v>
      </c>
      <c r="B6" s="27" t="s">
        <v>46</v>
      </c>
      <c r="C6" s="27" t="s">
        <v>47</v>
      </c>
      <c r="D6" s="28">
        <v>1200000</v>
      </c>
      <c r="E6" s="29" t="s">
        <v>48</v>
      </c>
      <c r="F6" s="30">
        <v>46330</v>
      </c>
      <c r="G6" s="27" t="s">
        <v>49</v>
      </c>
      <c r="H6" s="29" t="s">
        <v>43</v>
      </c>
      <c r="I6" s="31">
        <v>0.35</v>
      </c>
      <c r="J6" s="28">
        <f t="shared" si="0"/>
        <v>420000</v>
      </c>
      <c r="K6" s="6" t="s">
        <v>44</v>
      </c>
    </row>
    <row r="7" spans="1:11" ht="29.25">
      <c r="A7" s="7" t="s">
        <v>50</v>
      </c>
      <c r="B7" s="21" t="s">
        <v>33</v>
      </c>
      <c r="C7" s="21" t="s">
        <v>51</v>
      </c>
      <c r="D7" s="22">
        <v>108000</v>
      </c>
      <c r="E7" s="23" t="s">
        <v>52</v>
      </c>
      <c r="F7" s="24">
        <v>46325</v>
      </c>
      <c r="G7" s="21" t="s">
        <v>53</v>
      </c>
      <c r="H7" s="23" t="s">
        <v>54</v>
      </c>
      <c r="I7" s="25">
        <v>0.8</v>
      </c>
      <c r="J7" s="22">
        <f t="shared" si="0"/>
        <v>86400</v>
      </c>
      <c r="K7" s="26" t="s">
        <v>55</v>
      </c>
    </row>
    <row r="8" spans="1:11" ht="30">
      <c r="A8" s="5" t="s">
        <v>56</v>
      </c>
      <c r="B8" s="27" t="s">
        <v>33</v>
      </c>
      <c r="C8" s="27" t="s">
        <v>57</v>
      </c>
      <c r="D8" s="28">
        <v>250000</v>
      </c>
      <c r="E8" s="29" t="s">
        <v>58</v>
      </c>
      <c r="F8" s="30">
        <v>46332</v>
      </c>
      <c r="G8" s="27" t="s">
        <v>53</v>
      </c>
      <c r="H8" s="29" t="s">
        <v>59</v>
      </c>
      <c r="I8" s="31">
        <v>0.7</v>
      </c>
      <c r="J8" s="28">
        <f t="shared" si="0"/>
        <v>175000</v>
      </c>
      <c r="K8" s="6" t="s">
        <v>60</v>
      </c>
    </row>
    <row r="9" spans="1:11">
      <c r="A9" s="7" t="s">
        <v>61</v>
      </c>
      <c r="B9" s="21" t="s">
        <v>62</v>
      </c>
      <c r="C9" s="21" t="s">
        <v>63</v>
      </c>
      <c r="D9" s="22">
        <v>2750000</v>
      </c>
      <c r="E9" s="23" t="s">
        <v>64</v>
      </c>
      <c r="F9" s="24">
        <v>46307</v>
      </c>
      <c r="G9" s="21" t="s">
        <v>36</v>
      </c>
      <c r="H9" s="23" t="s">
        <v>43</v>
      </c>
      <c r="I9" s="25">
        <v>0.45</v>
      </c>
      <c r="J9" s="22">
        <f t="shared" si="0"/>
        <v>1237500</v>
      </c>
      <c r="K9" s="26" t="s">
        <v>65</v>
      </c>
    </row>
    <row r="10" spans="1:11">
      <c r="A10" s="5" t="s">
        <v>66</v>
      </c>
      <c r="B10" s="27" t="s">
        <v>67</v>
      </c>
      <c r="C10" s="27" t="s">
        <v>68</v>
      </c>
      <c r="D10" s="28">
        <v>950000</v>
      </c>
      <c r="E10" s="29" t="s">
        <v>69</v>
      </c>
      <c r="F10" s="30">
        <v>46339</v>
      </c>
      <c r="G10" s="27" t="s">
        <v>36</v>
      </c>
      <c r="H10" s="29" t="s">
        <v>70</v>
      </c>
      <c r="I10" s="31">
        <v>0.3</v>
      </c>
      <c r="J10" s="28">
        <f t="shared" si="0"/>
        <v>285000</v>
      </c>
      <c r="K10" s="6" t="s">
        <v>71</v>
      </c>
    </row>
    <row r="11" spans="1:11" ht="30">
      <c r="A11" s="7" t="s">
        <v>72</v>
      </c>
      <c r="B11" s="21" t="s">
        <v>73</v>
      </c>
      <c r="C11" s="21" t="s">
        <v>74</v>
      </c>
      <c r="D11" s="22">
        <v>780000</v>
      </c>
      <c r="E11" s="23" t="s">
        <v>75</v>
      </c>
      <c r="F11" s="24">
        <v>46322</v>
      </c>
      <c r="G11" s="21" t="s">
        <v>49</v>
      </c>
      <c r="H11" s="23" t="s">
        <v>70</v>
      </c>
      <c r="I11" s="25">
        <v>0.55000000000000004</v>
      </c>
      <c r="J11" s="22">
        <f t="shared" si="0"/>
        <v>429000.00000000006</v>
      </c>
      <c r="K11" s="26" t="s">
        <v>44</v>
      </c>
    </row>
    <row r="12" spans="1:11">
      <c r="A12" s="5" t="s">
        <v>76</v>
      </c>
      <c r="B12" s="27" t="s">
        <v>77</v>
      </c>
      <c r="C12" s="27" t="s">
        <v>78</v>
      </c>
      <c r="D12" s="28">
        <v>4600000</v>
      </c>
      <c r="E12" s="29" t="s">
        <v>79</v>
      </c>
      <c r="F12" s="30">
        <v>46346</v>
      </c>
      <c r="G12" s="27" t="s">
        <v>36</v>
      </c>
      <c r="H12" s="29" t="s">
        <v>54</v>
      </c>
      <c r="I12" s="31">
        <v>0.3</v>
      </c>
      <c r="J12" s="28">
        <f t="shared" si="0"/>
        <v>1380000</v>
      </c>
      <c r="K12" s="6" t="s">
        <v>80</v>
      </c>
    </row>
    <row r="13" spans="1:11">
      <c r="A13" s="7" t="s">
        <v>81</v>
      </c>
      <c r="B13" s="21" t="s">
        <v>82</v>
      </c>
      <c r="C13" s="21" t="s">
        <v>83</v>
      </c>
      <c r="D13" s="22">
        <v>3100000</v>
      </c>
      <c r="E13" s="23" t="s">
        <v>84</v>
      </c>
      <c r="F13" s="24">
        <v>46349</v>
      </c>
      <c r="G13" s="21" t="s">
        <v>36</v>
      </c>
      <c r="H13" s="23" t="s">
        <v>54</v>
      </c>
      <c r="I13" s="25">
        <v>0.35</v>
      </c>
      <c r="J13" s="22">
        <f t="shared" si="0"/>
        <v>1085000</v>
      </c>
      <c r="K13" s="26" t="s">
        <v>80</v>
      </c>
    </row>
    <row r="14" spans="1:11" ht="30">
      <c r="A14" s="5" t="s">
        <v>85</v>
      </c>
      <c r="B14" s="27" t="s">
        <v>86</v>
      </c>
      <c r="C14" s="27" t="s">
        <v>87</v>
      </c>
      <c r="D14" s="28">
        <v>2300000</v>
      </c>
      <c r="E14" s="29" t="s">
        <v>88</v>
      </c>
      <c r="F14" s="30">
        <v>46357</v>
      </c>
      <c r="G14" s="27" t="s">
        <v>36</v>
      </c>
      <c r="H14" s="29" t="s">
        <v>89</v>
      </c>
      <c r="I14" s="31">
        <v>0.25</v>
      </c>
      <c r="J14" s="28">
        <f t="shared" si="0"/>
        <v>575000</v>
      </c>
      <c r="K14" s="6" t="s">
        <v>90</v>
      </c>
    </row>
    <row r="15" spans="1:11">
      <c r="A15" s="7" t="s">
        <v>91</v>
      </c>
      <c r="B15" s="21" t="s">
        <v>92</v>
      </c>
      <c r="C15" s="21" t="s">
        <v>93</v>
      </c>
      <c r="D15" s="22">
        <v>1400000</v>
      </c>
      <c r="E15" s="23" t="s">
        <v>94</v>
      </c>
      <c r="F15" s="24">
        <v>46363</v>
      </c>
      <c r="G15" s="21" t="s">
        <v>36</v>
      </c>
      <c r="H15" s="23" t="s">
        <v>43</v>
      </c>
      <c r="I15" s="25">
        <v>0.3</v>
      </c>
      <c r="J15" s="22">
        <f t="shared" si="0"/>
        <v>420000</v>
      </c>
      <c r="K15" s="26" t="s">
        <v>95</v>
      </c>
    </row>
    <row r="16" spans="1:11">
      <c r="A16" s="32" t="s">
        <v>96</v>
      </c>
      <c r="B16" s="33" t="str">
        <f>COUNTA(B4:B15)&amp;" bids"</f>
        <v>12 bids</v>
      </c>
      <c r="C16" s="33"/>
      <c r="D16" s="34">
        <f>SUM(D4:D15)</f>
        <v>29088000</v>
      </c>
      <c r="E16" s="33"/>
      <c r="F16" s="33"/>
      <c r="G16" s="33"/>
      <c r="H16" s="33"/>
      <c r="I16" s="35">
        <f>IF(D16=0,0,J16/D16)</f>
        <v>0.37602791529152918</v>
      </c>
      <c r="J16" s="34">
        <f>SUM(J4:J15)</f>
        <v>10937900</v>
      </c>
      <c r="K16" s="36"/>
    </row>
  </sheetData>
  <mergeCells count="2">
    <mergeCell ref="A1:K1"/>
    <mergeCell ref="A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5224-C2A6-4B09-8112-88A7D625B691}">
  <dimension ref="A1:Q40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16.7109375" customWidth="1"/>
    <col min="2" max="2" width="46.7109375" customWidth="1"/>
    <col min="3" max="15" width="8.7109375" customWidth="1"/>
    <col min="16" max="16" width="12.7109375" customWidth="1"/>
    <col min="17" max="17" width="11.7109375" customWidth="1"/>
  </cols>
  <sheetData>
    <row r="1" spans="1:17" ht="18.75">
      <c r="A1" s="87" t="s">
        <v>97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</row>
    <row r="2" spans="1:17">
      <c r="A2" s="86" t="s">
        <v>98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</row>
    <row r="3" spans="1:17" ht="30">
      <c r="A3" s="1" t="s">
        <v>99</v>
      </c>
      <c r="B3" s="1" t="s">
        <v>100</v>
      </c>
      <c r="C3" s="37">
        <v>46300</v>
      </c>
      <c r="D3" s="37">
        <v>46307</v>
      </c>
      <c r="E3" s="37">
        <v>46314</v>
      </c>
      <c r="F3" s="37">
        <v>46321</v>
      </c>
      <c r="G3" s="37">
        <v>46328</v>
      </c>
      <c r="H3" s="37">
        <v>46335</v>
      </c>
      <c r="I3" s="37">
        <v>46342</v>
      </c>
      <c r="J3" s="37">
        <v>46349</v>
      </c>
      <c r="K3" s="37">
        <v>46356</v>
      </c>
      <c r="L3" s="37">
        <v>46363</v>
      </c>
      <c r="M3" s="37">
        <v>46370</v>
      </c>
      <c r="N3" s="37">
        <v>46377</v>
      </c>
      <c r="O3" s="37">
        <v>46384</v>
      </c>
      <c r="P3" s="1" t="s">
        <v>101</v>
      </c>
      <c r="Q3" s="1" t="s">
        <v>102</v>
      </c>
    </row>
    <row r="4" spans="1:17">
      <c r="A4" s="38" t="s">
        <v>43</v>
      </c>
      <c r="B4" s="39" t="s">
        <v>103</v>
      </c>
      <c r="C4" s="40">
        <v>1.5</v>
      </c>
      <c r="D4" s="40">
        <v>1.5</v>
      </c>
      <c r="E4" s="40">
        <v>1.5</v>
      </c>
      <c r="F4" s="40">
        <v>1.5</v>
      </c>
      <c r="G4" s="40">
        <v>1.5</v>
      </c>
      <c r="H4" s="40">
        <v>1.5</v>
      </c>
      <c r="I4" s="40">
        <v>1.5</v>
      </c>
      <c r="J4" s="40">
        <v>1.5</v>
      </c>
      <c r="K4" s="40">
        <v>1</v>
      </c>
      <c r="L4" s="40">
        <v>1.5</v>
      </c>
      <c r="M4" s="40">
        <v>1.5</v>
      </c>
      <c r="N4" s="40">
        <v>0.5</v>
      </c>
      <c r="O4" s="40">
        <v>0</v>
      </c>
      <c r="P4" s="40">
        <f t="shared" ref="P4:P9" si="0">SUM(C4:O4)</f>
        <v>16.5</v>
      </c>
      <c r="Q4" s="41"/>
    </row>
    <row r="5" spans="1:17">
      <c r="A5" s="42" t="s">
        <v>43</v>
      </c>
      <c r="B5" s="2" t="s">
        <v>104</v>
      </c>
      <c r="C5" s="43">
        <v>0</v>
      </c>
      <c r="D5" s="43">
        <v>1</v>
      </c>
      <c r="E5" s="43">
        <v>2</v>
      </c>
      <c r="F5" s="43">
        <v>4</v>
      </c>
      <c r="G5" s="43">
        <v>4</v>
      </c>
      <c r="H5" s="43">
        <v>1</v>
      </c>
      <c r="I5" s="43">
        <v>1</v>
      </c>
      <c r="J5" s="43">
        <v>2</v>
      </c>
      <c r="K5" s="43">
        <v>0.5</v>
      </c>
      <c r="L5" s="43">
        <v>0.5</v>
      </c>
      <c r="M5" s="43">
        <v>0.5</v>
      </c>
      <c r="N5" s="43">
        <v>0</v>
      </c>
      <c r="O5" s="43">
        <v>0</v>
      </c>
      <c r="P5" s="43">
        <f t="shared" si="0"/>
        <v>16.5</v>
      </c>
      <c r="Q5" s="44"/>
    </row>
    <row r="6" spans="1:17">
      <c r="A6" s="42" t="s">
        <v>43</v>
      </c>
      <c r="B6" s="2" t="s">
        <v>105</v>
      </c>
      <c r="C6" s="43">
        <v>2</v>
      </c>
      <c r="D6" s="43">
        <v>1.5</v>
      </c>
      <c r="E6" s="43">
        <v>1</v>
      </c>
      <c r="F6" s="43">
        <v>1.5</v>
      </c>
      <c r="G6" s="43">
        <v>1</v>
      </c>
      <c r="H6" s="43">
        <v>0.5</v>
      </c>
      <c r="I6" s="43">
        <v>1</v>
      </c>
      <c r="J6" s="43">
        <v>1</v>
      </c>
      <c r="K6" s="43">
        <v>1</v>
      </c>
      <c r="L6" s="43">
        <v>1.5</v>
      </c>
      <c r="M6" s="43">
        <v>0.5</v>
      </c>
      <c r="N6" s="43">
        <v>0</v>
      </c>
      <c r="O6" s="43">
        <v>0</v>
      </c>
      <c r="P6" s="43">
        <f t="shared" si="0"/>
        <v>12.5</v>
      </c>
      <c r="Q6" s="44"/>
    </row>
    <row r="7" spans="1:17">
      <c r="A7" s="42" t="s">
        <v>43</v>
      </c>
      <c r="B7" s="2" t="s">
        <v>106</v>
      </c>
      <c r="C7" s="43">
        <v>0.5</v>
      </c>
      <c r="D7" s="43">
        <v>0.5</v>
      </c>
      <c r="E7" s="43">
        <v>0.5</v>
      </c>
      <c r="F7" s="43">
        <v>0.5</v>
      </c>
      <c r="G7" s="43">
        <v>0.5</v>
      </c>
      <c r="H7" s="43">
        <v>0.5</v>
      </c>
      <c r="I7" s="43">
        <v>0.5</v>
      </c>
      <c r="J7" s="43">
        <v>0.5</v>
      </c>
      <c r="K7" s="43">
        <v>0.5</v>
      </c>
      <c r="L7" s="43">
        <v>0.5</v>
      </c>
      <c r="M7" s="43">
        <v>0.5</v>
      </c>
      <c r="N7" s="43">
        <v>0.5</v>
      </c>
      <c r="O7" s="43">
        <v>0.5</v>
      </c>
      <c r="P7" s="43">
        <f t="shared" si="0"/>
        <v>6.5</v>
      </c>
      <c r="Q7" s="44"/>
    </row>
    <row r="8" spans="1:17">
      <c r="A8" s="45" t="s">
        <v>43</v>
      </c>
      <c r="B8" s="46" t="s">
        <v>107</v>
      </c>
      <c r="C8" s="47">
        <f t="shared" ref="C8:O8" si="1">SUM(C4:C7)</f>
        <v>4</v>
      </c>
      <c r="D8" s="47">
        <f t="shared" si="1"/>
        <v>4.5</v>
      </c>
      <c r="E8" s="47">
        <f t="shared" si="1"/>
        <v>5</v>
      </c>
      <c r="F8" s="47">
        <f t="shared" si="1"/>
        <v>7.5</v>
      </c>
      <c r="G8" s="47">
        <f t="shared" si="1"/>
        <v>7</v>
      </c>
      <c r="H8" s="47">
        <f t="shared" si="1"/>
        <v>3.5</v>
      </c>
      <c r="I8" s="47">
        <f t="shared" si="1"/>
        <v>4</v>
      </c>
      <c r="J8" s="47">
        <f t="shared" si="1"/>
        <v>5</v>
      </c>
      <c r="K8" s="47">
        <f t="shared" si="1"/>
        <v>3</v>
      </c>
      <c r="L8" s="47">
        <f t="shared" si="1"/>
        <v>4</v>
      </c>
      <c r="M8" s="47">
        <f t="shared" si="1"/>
        <v>3</v>
      </c>
      <c r="N8" s="47">
        <f t="shared" si="1"/>
        <v>1</v>
      </c>
      <c r="O8" s="47">
        <f t="shared" si="1"/>
        <v>0.5</v>
      </c>
      <c r="P8" s="47">
        <f t="shared" si="0"/>
        <v>52</v>
      </c>
      <c r="Q8" s="48"/>
    </row>
    <row r="9" spans="1:17">
      <c r="A9" s="42" t="s">
        <v>43</v>
      </c>
      <c r="B9" s="2" t="s">
        <v>108</v>
      </c>
      <c r="C9" s="49">
        <v>5</v>
      </c>
      <c r="D9" s="49">
        <v>5</v>
      </c>
      <c r="E9" s="49">
        <v>5</v>
      </c>
      <c r="F9" s="49">
        <v>5</v>
      </c>
      <c r="G9" s="49">
        <v>5</v>
      </c>
      <c r="H9" s="49">
        <v>5</v>
      </c>
      <c r="I9" s="49">
        <v>5</v>
      </c>
      <c r="J9" s="49">
        <v>5</v>
      </c>
      <c r="K9" s="49">
        <v>3</v>
      </c>
      <c r="L9" s="49">
        <v>5</v>
      </c>
      <c r="M9" s="49">
        <v>5</v>
      </c>
      <c r="N9" s="49">
        <v>5</v>
      </c>
      <c r="O9" s="49">
        <v>4</v>
      </c>
      <c r="P9" s="43">
        <f t="shared" si="0"/>
        <v>62</v>
      </c>
      <c r="Q9" s="44"/>
    </row>
    <row r="10" spans="1:17">
      <c r="A10" s="42" t="s">
        <v>43</v>
      </c>
      <c r="B10" s="50" t="s">
        <v>109</v>
      </c>
      <c r="C10" s="51">
        <f t="shared" ref="C10:P10" si="2">IF(C9=0,0,C8/C9)</f>
        <v>0.8</v>
      </c>
      <c r="D10" s="51">
        <f t="shared" si="2"/>
        <v>0.9</v>
      </c>
      <c r="E10" s="51">
        <f t="shared" si="2"/>
        <v>1</v>
      </c>
      <c r="F10" s="51">
        <f t="shared" si="2"/>
        <v>1.5</v>
      </c>
      <c r="G10" s="51">
        <f t="shared" si="2"/>
        <v>1.4</v>
      </c>
      <c r="H10" s="51">
        <f t="shared" si="2"/>
        <v>0.7</v>
      </c>
      <c r="I10" s="51">
        <f t="shared" si="2"/>
        <v>0.8</v>
      </c>
      <c r="J10" s="51">
        <f t="shared" si="2"/>
        <v>1</v>
      </c>
      <c r="K10" s="51">
        <f t="shared" si="2"/>
        <v>1</v>
      </c>
      <c r="L10" s="51">
        <f t="shared" si="2"/>
        <v>0.8</v>
      </c>
      <c r="M10" s="51">
        <f t="shared" si="2"/>
        <v>0.6</v>
      </c>
      <c r="N10" s="51">
        <f t="shared" si="2"/>
        <v>0.2</v>
      </c>
      <c r="O10" s="51">
        <f t="shared" si="2"/>
        <v>0.125</v>
      </c>
      <c r="P10" s="51">
        <f t="shared" si="2"/>
        <v>0.83870967741935487</v>
      </c>
      <c r="Q10" s="52">
        <f>COUNTIF(C10:O10,"&gt;1")</f>
        <v>2</v>
      </c>
    </row>
    <row r="11" spans="1:17">
      <c r="A11" s="38" t="s">
        <v>54</v>
      </c>
      <c r="B11" s="39" t="s">
        <v>110</v>
      </c>
      <c r="C11" s="40">
        <v>3</v>
      </c>
      <c r="D11" s="40">
        <v>3</v>
      </c>
      <c r="E11" s="40">
        <v>3</v>
      </c>
      <c r="F11" s="40">
        <v>3</v>
      </c>
      <c r="G11" s="40">
        <v>3</v>
      </c>
      <c r="H11" s="40">
        <v>3</v>
      </c>
      <c r="I11" s="40">
        <v>3</v>
      </c>
      <c r="J11" s="40">
        <v>3</v>
      </c>
      <c r="K11" s="40">
        <v>2</v>
      </c>
      <c r="L11" s="40">
        <v>3</v>
      </c>
      <c r="M11" s="40">
        <v>3</v>
      </c>
      <c r="N11" s="40">
        <v>1</v>
      </c>
      <c r="O11" s="40">
        <v>0</v>
      </c>
      <c r="P11" s="40">
        <f t="shared" ref="P11:P16" si="3">SUM(C11:O11)</f>
        <v>33</v>
      </c>
      <c r="Q11" s="41"/>
    </row>
    <row r="12" spans="1:17">
      <c r="A12" s="42" t="s">
        <v>54</v>
      </c>
      <c r="B12" s="2" t="s">
        <v>104</v>
      </c>
      <c r="C12" s="43">
        <v>0</v>
      </c>
      <c r="D12" s="43">
        <v>0.5</v>
      </c>
      <c r="E12" s="43">
        <v>1</v>
      </c>
      <c r="F12" s="43">
        <v>1</v>
      </c>
      <c r="G12" s="43">
        <v>1</v>
      </c>
      <c r="H12" s="43">
        <v>0.5</v>
      </c>
      <c r="I12" s="43">
        <v>0</v>
      </c>
      <c r="J12" s="43">
        <v>0.5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f t="shared" si="3"/>
        <v>4.5</v>
      </c>
      <c r="Q12" s="44"/>
    </row>
    <row r="13" spans="1:17">
      <c r="A13" s="42" t="s">
        <v>54</v>
      </c>
      <c r="B13" s="2" t="s">
        <v>105</v>
      </c>
      <c r="C13" s="43">
        <v>0.5</v>
      </c>
      <c r="D13" s="43">
        <v>0.5</v>
      </c>
      <c r="E13" s="43">
        <v>0.5</v>
      </c>
      <c r="F13" s="43">
        <v>0.5</v>
      </c>
      <c r="G13" s="43">
        <v>0.5</v>
      </c>
      <c r="H13" s="43">
        <v>1</v>
      </c>
      <c r="I13" s="43">
        <v>1.5</v>
      </c>
      <c r="J13" s="43">
        <v>1</v>
      </c>
      <c r="K13" s="43">
        <v>0.5</v>
      </c>
      <c r="L13" s="43">
        <v>0.5</v>
      </c>
      <c r="M13" s="43">
        <v>0.5</v>
      </c>
      <c r="N13" s="43">
        <v>0</v>
      </c>
      <c r="O13" s="43">
        <v>0</v>
      </c>
      <c r="P13" s="43">
        <f t="shared" si="3"/>
        <v>7.5</v>
      </c>
      <c r="Q13" s="44"/>
    </row>
    <row r="14" spans="1:17">
      <c r="A14" s="42" t="s">
        <v>54</v>
      </c>
      <c r="B14" s="2" t="s">
        <v>106</v>
      </c>
      <c r="C14" s="43">
        <v>0.5</v>
      </c>
      <c r="D14" s="43">
        <v>0.5</v>
      </c>
      <c r="E14" s="43">
        <v>0.5</v>
      </c>
      <c r="F14" s="43">
        <v>0.5</v>
      </c>
      <c r="G14" s="43">
        <v>0.5</v>
      </c>
      <c r="H14" s="43">
        <v>0.5</v>
      </c>
      <c r="I14" s="43">
        <v>0.5</v>
      </c>
      <c r="J14" s="43">
        <v>0.5</v>
      </c>
      <c r="K14" s="43">
        <v>0.5</v>
      </c>
      <c r="L14" s="43">
        <v>0.5</v>
      </c>
      <c r="M14" s="43">
        <v>0.5</v>
      </c>
      <c r="N14" s="43">
        <v>0.5</v>
      </c>
      <c r="O14" s="43">
        <v>0.5</v>
      </c>
      <c r="P14" s="43">
        <f t="shared" si="3"/>
        <v>6.5</v>
      </c>
      <c r="Q14" s="44"/>
    </row>
    <row r="15" spans="1:17">
      <c r="A15" s="45" t="s">
        <v>54</v>
      </c>
      <c r="B15" s="46" t="s">
        <v>107</v>
      </c>
      <c r="C15" s="47">
        <f t="shared" ref="C15:O15" si="4">SUM(C11:C14)</f>
        <v>4</v>
      </c>
      <c r="D15" s="47">
        <f t="shared" si="4"/>
        <v>4.5</v>
      </c>
      <c r="E15" s="47">
        <f t="shared" si="4"/>
        <v>5</v>
      </c>
      <c r="F15" s="47">
        <f t="shared" si="4"/>
        <v>5</v>
      </c>
      <c r="G15" s="47">
        <f t="shared" si="4"/>
        <v>5</v>
      </c>
      <c r="H15" s="47">
        <f t="shared" si="4"/>
        <v>5</v>
      </c>
      <c r="I15" s="47">
        <f t="shared" si="4"/>
        <v>5</v>
      </c>
      <c r="J15" s="47">
        <f t="shared" si="4"/>
        <v>5</v>
      </c>
      <c r="K15" s="47">
        <f t="shared" si="4"/>
        <v>3</v>
      </c>
      <c r="L15" s="47">
        <f t="shared" si="4"/>
        <v>4</v>
      </c>
      <c r="M15" s="47">
        <f t="shared" si="4"/>
        <v>4</v>
      </c>
      <c r="N15" s="47">
        <f t="shared" si="4"/>
        <v>1.5</v>
      </c>
      <c r="O15" s="47">
        <f t="shared" si="4"/>
        <v>0.5</v>
      </c>
      <c r="P15" s="47">
        <f t="shared" si="3"/>
        <v>51.5</v>
      </c>
      <c r="Q15" s="48"/>
    </row>
    <row r="16" spans="1:17">
      <c r="A16" s="42" t="s">
        <v>54</v>
      </c>
      <c r="B16" s="2" t="s">
        <v>108</v>
      </c>
      <c r="C16" s="49">
        <v>5</v>
      </c>
      <c r="D16" s="49">
        <v>5</v>
      </c>
      <c r="E16" s="49">
        <v>5</v>
      </c>
      <c r="F16" s="49">
        <v>5</v>
      </c>
      <c r="G16" s="49">
        <v>5</v>
      </c>
      <c r="H16" s="49">
        <v>5</v>
      </c>
      <c r="I16" s="49">
        <v>5</v>
      </c>
      <c r="J16" s="49">
        <v>5</v>
      </c>
      <c r="K16" s="49">
        <v>3</v>
      </c>
      <c r="L16" s="49">
        <v>5</v>
      </c>
      <c r="M16" s="49">
        <v>5</v>
      </c>
      <c r="N16" s="49">
        <v>2</v>
      </c>
      <c r="O16" s="49">
        <v>0</v>
      </c>
      <c r="P16" s="43">
        <f t="shared" si="3"/>
        <v>55</v>
      </c>
      <c r="Q16" s="44"/>
    </row>
    <row r="17" spans="1:17">
      <c r="A17" s="42" t="s">
        <v>54</v>
      </c>
      <c r="B17" s="50" t="s">
        <v>109</v>
      </c>
      <c r="C17" s="51">
        <f t="shared" ref="C17:P17" si="5">IF(C16=0,0,C15/C16)</f>
        <v>0.8</v>
      </c>
      <c r="D17" s="51">
        <f t="shared" si="5"/>
        <v>0.9</v>
      </c>
      <c r="E17" s="51">
        <f t="shared" si="5"/>
        <v>1</v>
      </c>
      <c r="F17" s="51">
        <f t="shared" si="5"/>
        <v>1</v>
      </c>
      <c r="G17" s="51">
        <f t="shared" si="5"/>
        <v>1</v>
      </c>
      <c r="H17" s="51">
        <f t="shared" si="5"/>
        <v>1</v>
      </c>
      <c r="I17" s="51">
        <f t="shared" si="5"/>
        <v>1</v>
      </c>
      <c r="J17" s="51">
        <f t="shared" si="5"/>
        <v>1</v>
      </c>
      <c r="K17" s="51">
        <f t="shared" si="5"/>
        <v>1</v>
      </c>
      <c r="L17" s="51">
        <f t="shared" si="5"/>
        <v>0.8</v>
      </c>
      <c r="M17" s="51">
        <f t="shared" si="5"/>
        <v>0.8</v>
      </c>
      <c r="N17" s="51">
        <f t="shared" si="5"/>
        <v>0.75</v>
      </c>
      <c r="O17" s="51">
        <f t="shared" si="5"/>
        <v>0</v>
      </c>
      <c r="P17" s="51">
        <f t="shared" si="5"/>
        <v>0.9363636363636364</v>
      </c>
      <c r="Q17" s="52">
        <f>COUNTIF(C17:O17,"&gt;1")</f>
        <v>0</v>
      </c>
    </row>
    <row r="18" spans="1:17">
      <c r="A18" s="38" t="s">
        <v>70</v>
      </c>
      <c r="B18" s="39" t="s">
        <v>111</v>
      </c>
      <c r="C18" s="40">
        <v>3</v>
      </c>
      <c r="D18" s="40">
        <v>3</v>
      </c>
      <c r="E18" s="40">
        <v>3</v>
      </c>
      <c r="F18" s="40">
        <v>3</v>
      </c>
      <c r="G18" s="40">
        <v>3</v>
      </c>
      <c r="H18" s="40">
        <v>3</v>
      </c>
      <c r="I18" s="40">
        <v>3</v>
      </c>
      <c r="J18" s="40">
        <v>3</v>
      </c>
      <c r="K18" s="40">
        <v>2</v>
      </c>
      <c r="L18" s="40">
        <v>3</v>
      </c>
      <c r="M18" s="40">
        <v>3</v>
      </c>
      <c r="N18" s="40">
        <v>1</v>
      </c>
      <c r="O18" s="40">
        <v>0</v>
      </c>
      <c r="P18" s="40">
        <f t="shared" ref="P18:P23" si="6">SUM(C18:O18)</f>
        <v>33</v>
      </c>
      <c r="Q18" s="41"/>
    </row>
    <row r="19" spans="1:17">
      <c r="A19" s="42" t="s">
        <v>70</v>
      </c>
      <c r="B19" s="2" t="s">
        <v>104</v>
      </c>
      <c r="C19" s="43">
        <v>0</v>
      </c>
      <c r="D19" s="43">
        <v>0.5</v>
      </c>
      <c r="E19" s="43">
        <v>1</v>
      </c>
      <c r="F19" s="43">
        <v>1</v>
      </c>
      <c r="G19" s="43">
        <v>1</v>
      </c>
      <c r="H19" s="43">
        <v>0.5</v>
      </c>
      <c r="I19" s="43">
        <v>0</v>
      </c>
      <c r="J19" s="43">
        <v>1</v>
      </c>
      <c r="K19" s="43">
        <v>0</v>
      </c>
      <c r="L19" s="43">
        <v>0</v>
      </c>
      <c r="M19" s="43">
        <v>0</v>
      </c>
      <c r="N19" s="43">
        <v>0</v>
      </c>
      <c r="O19" s="43">
        <v>0</v>
      </c>
      <c r="P19" s="43">
        <f t="shared" si="6"/>
        <v>5</v>
      </c>
      <c r="Q19" s="44"/>
    </row>
    <row r="20" spans="1:17">
      <c r="A20" s="42" t="s">
        <v>70</v>
      </c>
      <c r="B20" s="2" t="s">
        <v>105</v>
      </c>
      <c r="C20" s="43">
        <v>0.5</v>
      </c>
      <c r="D20" s="43">
        <v>0.5</v>
      </c>
      <c r="E20" s="43">
        <v>0.5</v>
      </c>
      <c r="F20" s="43">
        <v>0.5</v>
      </c>
      <c r="G20" s="43">
        <v>0.5</v>
      </c>
      <c r="H20" s="43">
        <v>1</v>
      </c>
      <c r="I20" s="43">
        <v>1</v>
      </c>
      <c r="J20" s="43">
        <v>0.5</v>
      </c>
      <c r="K20" s="43">
        <v>0.5</v>
      </c>
      <c r="L20" s="43">
        <v>0.5</v>
      </c>
      <c r="M20" s="43">
        <v>0.5</v>
      </c>
      <c r="N20" s="43">
        <v>0</v>
      </c>
      <c r="O20" s="43">
        <v>0</v>
      </c>
      <c r="P20" s="43">
        <f t="shared" si="6"/>
        <v>6.5</v>
      </c>
      <c r="Q20" s="44"/>
    </row>
    <row r="21" spans="1:17">
      <c r="A21" s="42" t="s">
        <v>70</v>
      </c>
      <c r="B21" s="2" t="s">
        <v>106</v>
      </c>
      <c r="C21" s="43">
        <v>0.5</v>
      </c>
      <c r="D21" s="43">
        <v>0.5</v>
      </c>
      <c r="E21" s="43">
        <v>0.5</v>
      </c>
      <c r="F21" s="43">
        <v>0.5</v>
      </c>
      <c r="G21" s="43">
        <v>0.5</v>
      </c>
      <c r="H21" s="43">
        <v>0.5</v>
      </c>
      <c r="I21" s="43">
        <v>0.5</v>
      </c>
      <c r="J21" s="43">
        <v>0.5</v>
      </c>
      <c r="K21" s="43">
        <v>0.5</v>
      </c>
      <c r="L21" s="43">
        <v>0.5</v>
      </c>
      <c r="M21" s="43">
        <v>0.5</v>
      </c>
      <c r="N21" s="43">
        <v>0.5</v>
      </c>
      <c r="O21" s="43">
        <v>0.5</v>
      </c>
      <c r="P21" s="43">
        <f t="shared" si="6"/>
        <v>6.5</v>
      </c>
      <c r="Q21" s="44"/>
    </row>
    <row r="22" spans="1:17">
      <c r="A22" s="45" t="s">
        <v>70</v>
      </c>
      <c r="B22" s="46" t="s">
        <v>107</v>
      </c>
      <c r="C22" s="47">
        <f t="shared" ref="C22:O22" si="7">SUM(C18:C21)</f>
        <v>4</v>
      </c>
      <c r="D22" s="47">
        <f t="shared" si="7"/>
        <v>4.5</v>
      </c>
      <c r="E22" s="47">
        <f t="shared" si="7"/>
        <v>5</v>
      </c>
      <c r="F22" s="47">
        <f t="shared" si="7"/>
        <v>5</v>
      </c>
      <c r="G22" s="47">
        <f t="shared" si="7"/>
        <v>5</v>
      </c>
      <c r="H22" s="47">
        <f t="shared" si="7"/>
        <v>5</v>
      </c>
      <c r="I22" s="47">
        <f t="shared" si="7"/>
        <v>4.5</v>
      </c>
      <c r="J22" s="47">
        <f t="shared" si="7"/>
        <v>5</v>
      </c>
      <c r="K22" s="47">
        <f t="shared" si="7"/>
        <v>3</v>
      </c>
      <c r="L22" s="47">
        <f t="shared" si="7"/>
        <v>4</v>
      </c>
      <c r="M22" s="47">
        <f t="shared" si="7"/>
        <v>4</v>
      </c>
      <c r="N22" s="47">
        <f t="shared" si="7"/>
        <v>1.5</v>
      </c>
      <c r="O22" s="47">
        <f t="shared" si="7"/>
        <v>0.5</v>
      </c>
      <c r="P22" s="47">
        <f t="shared" si="6"/>
        <v>51</v>
      </c>
      <c r="Q22" s="48"/>
    </row>
    <row r="23" spans="1:17">
      <c r="A23" s="42" t="s">
        <v>70</v>
      </c>
      <c r="B23" s="2" t="s">
        <v>108</v>
      </c>
      <c r="C23" s="49">
        <v>5</v>
      </c>
      <c r="D23" s="49">
        <v>5</v>
      </c>
      <c r="E23" s="49">
        <v>5</v>
      </c>
      <c r="F23" s="49">
        <v>5</v>
      </c>
      <c r="G23" s="49">
        <v>5</v>
      </c>
      <c r="H23" s="49">
        <v>5</v>
      </c>
      <c r="I23" s="49">
        <v>5</v>
      </c>
      <c r="J23" s="49">
        <v>5</v>
      </c>
      <c r="K23" s="49">
        <v>3</v>
      </c>
      <c r="L23" s="49">
        <v>5</v>
      </c>
      <c r="M23" s="49">
        <v>5</v>
      </c>
      <c r="N23" s="49">
        <v>5</v>
      </c>
      <c r="O23" s="49">
        <v>0</v>
      </c>
      <c r="P23" s="43">
        <f t="shared" si="6"/>
        <v>58</v>
      </c>
      <c r="Q23" s="44"/>
    </row>
    <row r="24" spans="1:17">
      <c r="A24" s="42" t="s">
        <v>70</v>
      </c>
      <c r="B24" s="50" t="s">
        <v>109</v>
      </c>
      <c r="C24" s="51">
        <f t="shared" ref="C24:P24" si="8">IF(C23=0,0,C22/C23)</f>
        <v>0.8</v>
      </c>
      <c r="D24" s="51">
        <f t="shared" si="8"/>
        <v>0.9</v>
      </c>
      <c r="E24" s="51">
        <f t="shared" si="8"/>
        <v>1</v>
      </c>
      <c r="F24" s="51">
        <f t="shared" si="8"/>
        <v>1</v>
      </c>
      <c r="G24" s="51">
        <f t="shared" si="8"/>
        <v>1</v>
      </c>
      <c r="H24" s="51">
        <f t="shared" si="8"/>
        <v>1</v>
      </c>
      <c r="I24" s="51">
        <f t="shared" si="8"/>
        <v>0.9</v>
      </c>
      <c r="J24" s="51">
        <f t="shared" si="8"/>
        <v>1</v>
      </c>
      <c r="K24" s="51">
        <f t="shared" si="8"/>
        <v>1</v>
      </c>
      <c r="L24" s="51">
        <f t="shared" si="8"/>
        <v>0.8</v>
      </c>
      <c r="M24" s="51">
        <f t="shared" si="8"/>
        <v>0.8</v>
      </c>
      <c r="N24" s="51">
        <f t="shared" si="8"/>
        <v>0.3</v>
      </c>
      <c r="O24" s="51">
        <f t="shared" si="8"/>
        <v>0</v>
      </c>
      <c r="P24" s="51">
        <f t="shared" si="8"/>
        <v>0.87931034482758619</v>
      </c>
      <c r="Q24" s="52">
        <f>COUNTIF(C24:O24,"&gt;1")</f>
        <v>0</v>
      </c>
    </row>
    <row r="25" spans="1:17">
      <c r="A25" s="38" t="s">
        <v>112</v>
      </c>
      <c r="B25" s="39" t="s">
        <v>113</v>
      </c>
      <c r="C25" s="40">
        <v>3.5</v>
      </c>
      <c r="D25" s="40">
        <v>3.5</v>
      </c>
      <c r="E25" s="40">
        <v>3.5</v>
      </c>
      <c r="F25" s="40">
        <v>3.5</v>
      </c>
      <c r="G25" s="40">
        <v>3.5</v>
      </c>
      <c r="H25" s="40">
        <v>3.5</v>
      </c>
      <c r="I25" s="40">
        <v>3.5</v>
      </c>
      <c r="J25" s="40">
        <v>3.5</v>
      </c>
      <c r="K25" s="40">
        <v>2.5</v>
      </c>
      <c r="L25" s="40">
        <v>3.5</v>
      </c>
      <c r="M25" s="40">
        <v>3.5</v>
      </c>
      <c r="N25" s="40">
        <v>1</v>
      </c>
      <c r="O25" s="40">
        <v>0</v>
      </c>
      <c r="P25" s="40">
        <f t="shared" ref="P25:P30" si="9">SUM(C25:O25)</f>
        <v>38.5</v>
      </c>
      <c r="Q25" s="41"/>
    </row>
    <row r="26" spans="1:17">
      <c r="A26" s="42" t="s">
        <v>112</v>
      </c>
      <c r="B26" s="2" t="s">
        <v>104</v>
      </c>
      <c r="C26" s="43">
        <v>0</v>
      </c>
      <c r="D26" s="43">
        <v>0</v>
      </c>
      <c r="E26" s="43">
        <v>0.5</v>
      </c>
      <c r="F26" s="43">
        <v>1</v>
      </c>
      <c r="G26" s="43">
        <v>1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>
        <v>0</v>
      </c>
      <c r="N26" s="43">
        <v>0</v>
      </c>
      <c r="O26" s="43">
        <v>0</v>
      </c>
      <c r="P26" s="43">
        <f t="shared" si="9"/>
        <v>2.5</v>
      </c>
      <c r="Q26" s="44"/>
    </row>
    <row r="27" spans="1:17">
      <c r="A27" s="42" t="s">
        <v>112</v>
      </c>
      <c r="B27" s="2" t="s">
        <v>105</v>
      </c>
      <c r="C27" s="43">
        <v>0</v>
      </c>
      <c r="D27" s="43">
        <v>0</v>
      </c>
      <c r="E27" s="43">
        <v>0</v>
      </c>
      <c r="F27" s="43">
        <v>0</v>
      </c>
      <c r="G27" s="43">
        <v>0</v>
      </c>
      <c r="H27" s="43">
        <v>0</v>
      </c>
      <c r="I27" s="43">
        <v>0.5</v>
      </c>
      <c r="J27" s="43">
        <v>0.5</v>
      </c>
      <c r="K27" s="43">
        <v>0</v>
      </c>
      <c r="L27" s="43">
        <v>0.5</v>
      </c>
      <c r="M27" s="43">
        <v>0.5</v>
      </c>
      <c r="N27" s="43">
        <v>0</v>
      </c>
      <c r="O27" s="43">
        <v>0</v>
      </c>
      <c r="P27" s="43">
        <f t="shared" si="9"/>
        <v>2</v>
      </c>
      <c r="Q27" s="44"/>
    </row>
    <row r="28" spans="1:17">
      <c r="A28" s="42" t="s">
        <v>112</v>
      </c>
      <c r="B28" s="2" t="s">
        <v>106</v>
      </c>
      <c r="C28" s="43">
        <v>0.5</v>
      </c>
      <c r="D28" s="43">
        <v>0.5</v>
      </c>
      <c r="E28" s="43">
        <v>0.5</v>
      </c>
      <c r="F28" s="43">
        <v>0.5</v>
      </c>
      <c r="G28" s="43">
        <v>0.5</v>
      </c>
      <c r="H28" s="43">
        <v>0.5</v>
      </c>
      <c r="I28" s="43">
        <v>0.5</v>
      </c>
      <c r="J28" s="43">
        <v>0.5</v>
      </c>
      <c r="K28" s="43">
        <v>0.5</v>
      </c>
      <c r="L28" s="43">
        <v>0.5</v>
      </c>
      <c r="M28" s="43">
        <v>0.5</v>
      </c>
      <c r="N28" s="43">
        <v>0.5</v>
      </c>
      <c r="O28" s="43">
        <v>0.5</v>
      </c>
      <c r="P28" s="43">
        <f t="shared" si="9"/>
        <v>6.5</v>
      </c>
      <c r="Q28" s="44"/>
    </row>
    <row r="29" spans="1:17">
      <c r="A29" s="45" t="s">
        <v>112</v>
      </c>
      <c r="B29" s="46" t="s">
        <v>107</v>
      </c>
      <c r="C29" s="47">
        <f t="shared" ref="C29:O29" si="10">SUM(C25:C28)</f>
        <v>4</v>
      </c>
      <c r="D29" s="47">
        <f t="shared" si="10"/>
        <v>4</v>
      </c>
      <c r="E29" s="47">
        <f t="shared" si="10"/>
        <v>4.5</v>
      </c>
      <c r="F29" s="47">
        <f t="shared" si="10"/>
        <v>5</v>
      </c>
      <c r="G29" s="47">
        <f t="shared" si="10"/>
        <v>5</v>
      </c>
      <c r="H29" s="47">
        <f t="shared" si="10"/>
        <v>4</v>
      </c>
      <c r="I29" s="47">
        <f t="shared" si="10"/>
        <v>4.5</v>
      </c>
      <c r="J29" s="47">
        <f t="shared" si="10"/>
        <v>4.5</v>
      </c>
      <c r="K29" s="47">
        <f t="shared" si="10"/>
        <v>3</v>
      </c>
      <c r="L29" s="47">
        <f t="shared" si="10"/>
        <v>4.5</v>
      </c>
      <c r="M29" s="47">
        <f t="shared" si="10"/>
        <v>4.5</v>
      </c>
      <c r="N29" s="47">
        <f t="shared" si="10"/>
        <v>1.5</v>
      </c>
      <c r="O29" s="47">
        <f t="shared" si="10"/>
        <v>0.5</v>
      </c>
      <c r="P29" s="47">
        <f t="shared" si="9"/>
        <v>49.5</v>
      </c>
      <c r="Q29" s="48"/>
    </row>
    <row r="30" spans="1:17">
      <c r="A30" s="42" t="s">
        <v>112</v>
      </c>
      <c r="B30" s="2" t="s">
        <v>108</v>
      </c>
      <c r="C30" s="49">
        <v>5</v>
      </c>
      <c r="D30" s="49">
        <v>5</v>
      </c>
      <c r="E30" s="49">
        <v>5</v>
      </c>
      <c r="F30" s="49">
        <v>5</v>
      </c>
      <c r="G30" s="49">
        <v>5</v>
      </c>
      <c r="H30" s="49">
        <v>5</v>
      </c>
      <c r="I30" s="49">
        <v>5</v>
      </c>
      <c r="J30" s="49">
        <v>5</v>
      </c>
      <c r="K30" s="49">
        <v>3</v>
      </c>
      <c r="L30" s="49">
        <v>5</v>
      </c>
      <c r="M30" s="49">
        <v>5</v>
      </c>
      <c r="N30" s="49">
        <v>3</v>
      </c>
      <c r="O30" s="49">
        <v>0</v>
      </c>
      <c r="P30" s="43">
        <f t="shared" si="9"/>
        <v>56</v>
      </c>
      <c r="Q30" s="44"/>
    </row>
    <row r="31" spans="1:17">
      <c r="A31" s="42" t="s">
        <v>112</v>
      </c>
      <c r="B31" s="50" t="s">
        <v>109</v>
      </c>
      <c r="C31" s="51">
        <f t="shared" ref="C31:P31" si="11">IF(C30=0,0,C29/C30)</f>
        <v>0.8</v>
      </c>
      <c r="D31" s="51">
        <f t="shared" si="11"/>
        <v>0.8</v>
      </c>
      <c r="E31" s="51">
        <f t="shared" si="11"/>
        <v>0.9</v>
      </c>
      <c r="F31" s="51">
        <f t="shared" si="11"/>
        <v>1</v>
      </c>
      <c r="G31" s="51">
        <f t="shared" si="11"/>
        <v>1</v>
      </c>
      <c r="H31" s="51">
        <f t="shared" si="11"/>
        <v>0.8</v>
      </c>
      <c r="I31" s="51">
        <f t="shared" si="11"/>
        <v>0.9</v>
      </c>
      <c r="J31" s="51">
        <f t="shared" si="11"/>
        <v>0.9</v>
      </c>
      <c r="K31" s="51">
        <f t="shared" si="11"/>
        <v>1</v>
      </c>
      <c r="L31" s="51">
        <f t="shared" si="11"/>
        <v>0.9</v>
      </c>
      <c r="M31" s="51">
        <f t="shared" si="11"/>
        <v>0.9</v>
      </c>
      <c r="N31" s="51">
        <f t="shared" si="11"/>
        <v>0.5</v>
      </c>
      <c r="O31" s="51">
        <f t="shared" si="11"/>
        <v>0</v>
      </c>
      <c r="P31" s="51">
        <f t="shared" si="11"/>
        <v>0.8839285714285714</v>
      </c>
      <c r="Q31" s="52">
        <f>COUNTIF(C31:O31,"&gt;1")</f>
        <v>0</v>
      </c>
    </row>
    <row r="32" spans="1:17">
      <c r="A32" s="38" t="s">
        <v>59</v>
      </c>
      <c r="B32" s="39" t="s">
        <v>114</v>
      </c>
      <c r="C32" s="40">
        <v>3.5</v>
      </c>
      <c r="D32" s="40">
        <v>3.5</v>
      </c>
      <c r="E32" s="40">
        <v>3.5</v>
      </c>
      <c r="F32" s="40">
        <v>3.5</v>
      </c>
      <c r="G32" s="40">
        <v>3.5</v>
      </c>
      <c r="H32" s="40">
        <v>3.5</v>
      </c>
      <c r="I32" s="40">
        <v>3.5</v>
      </c>
      <c r="J32" s="40">
        <v>3.5</v>
      </c>
      <c r="K32" s="40">
        <v>2.5</v>
      </c>
      <c r="L32" s="40">
        <v>3.5</v>
      </c>
      <c r="M32" s="40">
        <v>3.5</v>
      </c>
      <c r="N32" s="40">
        <v>1</v>
      </c>
      <c r="O32" s="40">
        <v>0</v>
      </c>
      <c r="P32" s="40">
        <f t="shared" ref="P32:P37" si="12">SUM(C32:O32)</f>
        <v>38.5</v>
      </c>
      <c r="Q32" s="41"/>
    </row>
    <row r="33" spans="1:17">
      <c r="A33" s="42" t="s">
        <v>59</v>
      </c>
      <c r="B33" s="2" t="s">
        <v>104</v>
      </c>
      <c r="C33" s="43">
        <v>0</v>
      </c>
      <c r="D33" s="43">
        <v>0</v>
      </c>
      <c r="E33" s="43">
        <v>0.5</v>
      </c>
      <c r="F33" s="43">
        <v>0.5</v>
      </c>
      <c r="G33" s="43">
        <v>0.5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f t="shared" si="12"/>
        <v>1.5</v>
      </c>
      <c r="Q33" s="44"/>
    </row>
    <row r="34" spans="1:17">
      <c r="A34" s="42" t="s">
        <v>59</v>
      </c>
      <c r="B34" s="2" t="s">
        <v>105</v>
      </c>
      <c r="C34" s="43">
        <v>0</v>
      </c>
      <c r="D34" s="43">
        <v>0.5</v>
      </c>
      <c r="E34" s="43">
        <v>0.5</v>
      </c>
      <c r="F34" s="43">
        <v>0.5</v>
      </c>
      <c r="G34" s="43">
        <v>0.5</v>
      </c>
      <c r="H34" s="43">
        <v>0.5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f t="shared" si="12"/>
        <v>2.5</v>
      </c>
      <c r="Q34" s="44"/>
    </row>
    <row r="35" spans="1:17">
      <c r="A35" s="42" t="s">
        <v>59</v>
      </c>
      <c r="B35" s="2" t="s">
        <v>106</v>
      </c>
      <c r="C35" s="43">
        <v>0.5</v>
      </c>
      <c r="D35" s="43">
        <v>0.5</v>
      </c>
      <c r="E35" s="43">
        <v>0.5</v>
      </c>
      <c r="F35" s="43">
        <v>0.5</v>
      </c>
      <c r="G35" s="43">
        <v>0.5</v>
      </c>
      <c r="H35" s="43">
        <v>0.5</v>
      </c>
      <c r="I35" s="43">
        <v>0.5</v>
      </c>
      <c r="J35" s="43">
        <v>0.5</v>
      </c>
      <c r="K35" s="43">
        <v>0.5</v>
      </c>
      <c r="L35" s="43">
        <v>0.5</v>
      </c>
      <c r="M35" s="43">
        <v>0.5</v>
      </c>
      <c r="N35" s="43">
        <v>0.5</v>
      </c>
      <c r="O35" s="43">
        <v>0.5</v>
      </c>
      <c r="P35" s="43">
        <f t="shared" si="12"/>
        <v>6.5</v>
      </c>
      <c r="Q35" s="44"/>
    </row>
    <row r="36" spans="1:17">
      <c r="A36" s="45" t="s">
        <v>59</v>
      </c>
      <c r="B36" s="46" t="s">
        <v>107</v>
      </c>
      <c r="C36" s="47">
        <f t="shared" ref="C36:O36" si="13">SUM(C32:C35)</f>
        <v>4</v>
      </c>
      <c r="D36" s="47">
        <f t="shared" si="13"/>
        <v>4.5</v>
      </c>
      <c r="E36" s="47">
        <f t="shared" si="13"/>
        <v>5</v>
      </c>
      <c r="F36" s="47">
        <f t="shared" si="13"/>
        <v>5</v>
      </c>
      <c r="G36" s="47">
        <f t="shared" si="13"/>
        <v>5</v>
      </c>
      <c r="H36" s="47">
        <f t="shared" si="13"/>
        <v>4.5</v>
      </c>
      <c r="I36" s="47">
        <f t="shared" si="13"/>
        <v>4</v>
      </c>
      <c r="J36" s="47">
        <f t="shared" si="13"/>
        <v>4</v>
      </c>
      <c r="K36" s="47">
        <f t="shared" si="13"/>
        <v>3</v>
      </c>
      <c r="L36" s="47">
        <f t="shared" si="13"/>
        <v>4</v>
      </c>
      <c r="M36" s="47">
        <f t="shared" si="13"/>
        <v>4</v>
      </c>
      <c r="N36" s="47">
        <f t="shared" si="13"/>
        <v>1.5</v>
      </c>
      <c r="O36" s="47">
        <f t="shared" si="13"/>
        <v>0.5</v>
      </c>
      <c r="P36" s="47">
        <f t="shared" si="12"/>
        <v>49</v>
      </c>
      <c r="Q36" s="48"/>
    </row>
    <row r="37" spans="1:17">
      <c r="A37" s="42" t="s">
        <v>59</v>
      </c>
      <c r="B37" s="2" t="s">
        <v>108</v>
      </c>
      <c r="C37" s="49">
        <v>5</v>
      </c>
      <c r="D37" s="49">
        <v>5</v>
      </c>
      <c r="E37" s="49">
        <v>5</v>
      </c>
      <c r="F37" s="49">
        <v>5</v>
      </c>
      <c r="G37" s="49">
        <v>5</v>
      </c>
      <c r="H37" s="49">
        <v>5</v>
      </c>
      <c r="I37" s="49">
        <v>5</v>
      </c>
      <c r="J37" s="49">
        <v>5</v>
      </c>
      <c r="K37" s="49">
        <v>3</v>
      </c>
      <c r="L37" s="49">
        <v>5</v>
      </c>
      <c r="M37" s="49">
        <v>5</v>
      </c>
      <c r="N37" s="49">
        <v>5</v>
      </c>
      <c r="O37" s="49">
        <v>0</v>
      </c>
      <c r="P37" s="43">
        <f t="shared" si="12"/>
        <v>58</v>
      </c>
      <c r="Q37" s="44"/>
    </row>
    <row r="38" spans="1:17">
      <c r="A38" s="53" t="s">
        <v>59</v>
      </c>
      <c r="B38" s="54" t="s">
        <v>109</v>
      </c>
      <c r="C38" s="55">
        <f t="shared" ref="C38:P38" si="14">IF(C37=0,0,C36/C37)</f>
        <v>0.8</v>
      </c>
      <c r="D38" s="55">
        <f t="shared" si="14"/>
        <v>0.9</v>
      </c>
      <c r="E38" s="55">
        <f t="shared" si="14"/>
        <v>1</v>
      </c>
      <c r="F38" s="55">
        <f t="shared" si="14"/>
        <v>1</v>
      </c>
      <c r="G38" s="55">
        <f t="shared" si="14"/>
        <v>1</v>
      </c>
      <c r="H38" s="55">
        <f t="shared" si="14"/>
        <v>0.9</v>
      </c>
      <c r="I38" s="55">
        <f t="shared" si="14"/>
        <v>0.8</v>
      </c>
      <c r="J38" s="55">
        <f t="shared" si="14"/>
        <v>0.8</v>
      </c>
      <c r="K38" s="55">
        <f t="shared" si="14"/>
        <v>1</v>
      </c>
      <c r="L38" s="55">
        <f t="shared" si="14"/>
        <v>0.8</v>
      </c>
      <c r="M38" s="55">
        <f t="shared" si="14"/>
        <v>0.8</v>
      </c>
      <c r="N38" s="55">
        <f t="shared" si="14"/>
        <v>0.3</v>
      </c>
      <c r="O38" s="55">
        <f t="shared" si="14"/>
        <v>0</v>
      </c>
      <c r="P38" s="55">
        <f t="shared" si="14"/>
        <v>0.84482758620689657</v>
      </c>
      <c r="Q38" s="56">
        <f>COUNTIF(C38:O38,"&gt;1")</f>
        <v>0</v>
      </c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30" customHeight="1">
      <c r="A40" s="50" t="s">
        <v>115</v>
      </c>
      <c r="B40" s="84" t="s">
        <v>116</v>
      </c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</row>
  </sheetData>
  <mergeCells count="3">
    <mergeCell ref="A1:Q1"/>
    <mergeCell ref="A2:Q2"/>
    <mergeCell ref="B40:Q40"/>
  </mergeCells>
  <conditionalFormatting sqref="C10:O10">
    <cfRule type="cellIs" dxfId="6" priority="1" operator="greaterThan">
      <formula>1</formula>
    </cfRule>
  </conditionalFormatting>
  <conditionalFormatting sqref="C17:O17">
    <cfRule type="cellIs" dxfId="5" priority="2" operator="greaterThan">
      <formula>1</formula>
    </cfRule>
  </conditionalFormatting>
  <conditionalFormatting sqref="C24:O24">
    <cfRule type="cellIs" dxfId="4" priority="3" operator="greaterThan">
      <formula>1</formula>
    </cfRule>
  </conditionalFormatting>
  <conditionalFormatting sqref="C31:O31">
    <cfRule type="cellIs" dxfId="3" priority="4" operator="greaterThan">
      <formula>1</formula>
    </cfRule>
  </conditionalFormatting>
  <conditionalFormatting sqref="C38:O38">
    <cfRule type="cellIs" dxfId="2" priority="5" operator="greaterThan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5F2C-C3F6-401D-B6F9-AD0ED912135B}">
  <dimension ref="A1:J30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17.7109375" customWidth="1"/>
    <col min="2" max="3" width="32.7109375" customWidth="1"/>
    <col min="4" max="6" width="13.7109375" customWidth="1"/>
    <col min="7" max="7" width="10.7109375" customWidth="1"/>
    <col min="8" max="8" width="46.7109375" customWidth="1"/>
    <col min="9" max="9" width="26.7109375" customWidth="1"/>
    <col min="10" max="10" width="46.7109375" customWidth="1"/>
  </cols>
  <sheetData>
    <row r="1" spans="1:10" ht="18.75">
      <c r="A1" s="87" t="s">
        <v>117</v>
      </c>
      <c r="B1" s="87"/>
      <c r="C1" s="87"/>
      <c r="D1" s="87"/>
      <c r="E1" s="87"/>
      <c r="F1" s="87"/>
      <c r="G1" s="87"/>
      <c r="H1" s="87"/>
      <c r="I1" s="87"/>
      <c r="J1" s="87"/>
    </row>
    <row r="2" spans="1:10">
      <c r="A2" s="86" t="s">
        <v>118</v>
      </c>
      <c r="B2" s="86"/>
      <c r="C2" s="86"/>
      <c r="D2" s="86"/>
      <c r="E2" s="86"/>
      <c r="F2" s="86"/>
      <c r="G2" s="86"/>
      <c r="H2" s="86"/>
      <c r="I2" s="86"/>
      <c r="J2" s="86"/>
    </row>
    <row r="3" spans="1:10" ht="30">
      <c r="A3" s="12" t="s">
        <v>21</v>
      </c>
      <c r="B3" s="11" t="s">
        <v>22</v>
      </c>
      <c r="C3" s="11" t="s">
        <v>25</v>
      </c>
      <c r="D3" s="11" t="s">
        <v>24</v>
      </c>
      <c r="E3" s="11" t="s">
        <v>119</v>
      </c>
      <c r="F3" s="11" t="s">
        <v>120</v>
      </c>
      <c r="G3" s="11" t="s">
        <v>121</v>
      </c>
      <c r="H3" s="11" t="s">
        <v>122</v>
      </c>
      <c r="I3" s="11" t="s">
        <v>123</v>
      </c>
      <c r="J3" s="13" t="s">
        <v>124</v>
      </c>
    </row>
    <row r="4" spans="1:10" ht="30">
      <c r="A4" s="57" t="s">
        <v>125</v>
      </c>
      <c r="B4" s="27" t="s">
        <v>126</v>
      </c>
      <c r="C4" s="29" t="s">
        <v>127</v>
      </c>
      <c r="D4" s="28">
        <v>5200000</v>
      </c>
      <c r="E4" s="58">
        <v>45600</v>
      </c>
      <c r="F4" s="58">
        <v>45635</v>
      </c>
      <c r="G4" s="59" t="s">
        <v>128</v>
      </c>
      <c r="H4" s="29" t="s">
        <v>129</v>
      </c>
      <c r="I4" s="29" t="s">
        <v>130</v>
      </c>
      <c r="J4" s="6" t="s">
        <v>131</v>
      </c>
    </row>
    <row r="5" spans="1:10" ht="30">
      <c r="A5" s="60" t="s">
        <v>132</v>
      </c>
      <c r="B5" s="21" t="s">
        <v>133</v>
      </c>
      <c r="C5" s="23" t="s">
        <v>134</v>
      </c>
      <c r="D5" s="22">
        <v>3800000</v>
      </c>
      <c r="E5" s="61">
        <v>45677</v>
      </c>
      <c r="F5" s="61">
        <v>45719</v>
      </c>
      <c r="G5" s="62" t="s">
        <v>135</v>
      </c>
      <c r="H5" s="23" t="s">
        <v>136</v>
      </c>
      <c r="I5" s="23" t="s">
        <v>137</v>
      </c>
      <c r="J5" s="26" t="s">
        <v>138</v>
      </c>
    </row>
    <row r="6" spans="1:10" ht="29.25">
      <c r="A6" s="57" t="s">
        <v>139</v>
      </c>
      <c r="B6" s="27" t="s">
        <v>33</v>
      </c>
      <c r="C6" s="29" t="s">
        <v>140</v>
      </c>
      <c r="D6" s="28">
        <v>7800000</v>
      </c>
      <c r="E6" s="58">
        <v>45992</v>
      </c>
      <c r="F6" s="58">
        <v>46127</v>
      </c>
      <c r="G6" s="59" t="s">
        <v>128</v>
      </c>
      <c r="H6" s="29" t="s">
        <v>141</v>
      </c>
      <c r="I6" s="29" t="s">
        <v>130</v>
      </c>
      <c r="J6" s="6" t="s">
        <v>142</v>
      </c>
    </row>
    <row r="7" spans="1:10" ht="30">
      <c r="A7" s="60" t="s">
        <v>143</v>
      </c>
      <c r="B7" s="21" t="s">
        <v>144</v>
      </c>
      <c r="C7" s="23" t="s">
        <v>145</v>
      </c>
      <c r="D7" s="22">
        <v>1300000</v>
      </c>
      <c r="E7" s="61">
        <v>45698</v>
      </c>
      <c r="F7" s="61">
        <v>45740</v>
      </c>
      <c r="G7" s="62" t="s">
        <v>135</v>
      </c>
      <c r="H7" s="23" t="s">
        <v>146</v>
      </c>
      <c r="I7" s="23" t="s">
        <v>147</v>
      </c>
      <c r="J7" s="26" t="s">
        <v>148</v>
      </c>
    </row>
    <row r="8" spans="1:10" ht="30">
      <c r="A8" s="57" t="s">
        <v>149</v>
      </c>
      <c r="B8" s="27" t="s">
        <v>150</v>
      </c>
      <c r="C8" s="29" t="s">
        <v>69</v>
      </c>
      <c r="D8" s="28">
        <v>1650000</v>
      </c>
      <c r="E8" s="58">
        <v>45719</v>
      </c>
      <c r="F8" s="58">
        <v>45761</v>
      </c>
      <c r="G8" s="59" t="s">
        <v>128</v>
      </c>
      <c r="H8" s="29" t="s">
        <v>151</v>
      </c>
      <c r="I8" s="29" t="s">
        <v>130</v>
      </c>
      <c r="J8" s="6" t="s">
        <v>152</v>
      </c>
    </row>
    <row r="9" spans="1:10">
      <c r="A9" s="60" t="s">
        <v>153</v>
      </c>
      <c r="B9" s="21" t="s">
        <v>154</v>
      </c>
      <c r="C9" s="23" t="s">
        <v>155</v>
      </c>
      <c r="D9" s="22">
        <v>640000</v>
      </c>
      <c r="E9" s="61">
        <v>45733</v>
      </c>
      <c r="F9" s="61">
        <v>45768</v>
      </c>
      <c r="G9" s="62" t="s">
        <v>128</v>
      </c>
      <c r="H9" s="23" t="s">
        <v>156</v>
      </c>
      <c r="I9" s="23" t="s">
        <v>130</v>
      </c>
      <c r="J9" s="26" t="s">
        <v>157</v>
      </c>
    </row>
    <row r="10" spans="1:10" ht="30">
      <c r="A10" s="57" t="s">
        <v>158</v>
      </c>
      <c r="B10" s="27" t="s">
        <v>159</v>
      </c>
      <c r="C10" s="29" t="s">
        <v>160</v>
      </c>
      <c r="D10" s="28">
        <v>2900000</v>
      </c>
      <c r="E10" s="58">
        <v>45754</v>
      </c>
      <c r="F10" s="58">
        <v>45803</v>
      </c>
      <c r="G10" s="59" t="s">
        <v>135</v>
      </c>
      <c r="H10" s="29" t="s">
        <v>161</v>
      </c>
      <c r="I10" s="29" t="s">
        <v>162</v>
      </c>
      <c r="J10" s="6" t="s">
        <v>163</v>
      </c>
    </row>
    <row r="11" spans="1:10">
      <c r="A11" s="60" t="s">
        <v>164</v>
      </c>
      <c r="B11" s="21" t="s">
        <v>165</v>
      </c>
      <c r="C11" s="23" t="s">
        <v>166</v>
      </c>
      <c r="D11" s="22">
        <v>4300000</v>
      </c>
      <c r="E11" s="61">
        <v>45782</v>
      </c>
      <c r="F11" s="61">
        <v>45838</v>
      </c>
      <c r="G11" s="62" t="s">
        <v>135</v>
      </c>
      <c r="H11" s="23" t="s">
        <v>167</v>
      </c>
      <c r="I11" s="23" t="s">
        <v>168</v>
      </c>
      <c r="J11" s="26" t="s">
        <v>169</v>
      </c>
    </row>
    <row r="12" spans="1:10" ht="30">
      <c r="A12" s="57" t="s">
        <v>170</v>
      </c>
      <c r="B12" s="27" t="s">
        <v>171</v>
      </c>
      <c r="C12" s="29" t="s">
        <v>172</v>
      </c>
      <c r="D12" s="28">
        <v>420000</v>
      </c>
      <c r="E12" s="58">
        <v>45796</v>
      </c>
      <c r="F12" s="58">
        <v>45824</v>
      </c>
      <c r="G12" s="59" t="s">
        <v>128</v>
      </c>
      <c r="H12" s="29" t="s">
        <v>173</v>
      </c>
      <c r="I12" s="29" t="s">
        <v>130</v>
      </c>
      <c r="J12" s="6" t="s">
        <v>174</v>
      </c>
    </row>
    <row r="13" spans="1:10">
      <c r="A13" s="60" t="s">
        <v>175</v>
      </c>
      <c r="B13" s="21" t="s">
        <v>176</v>
      </c>
      <c r="C13" s="23" t="s">
        <v>177</v>
      </c>
      <c r="D13" s="22">
        <v>880000</v>
      </c>
      <c r="E13" s="61">
        <v>45817</v>
      </c>
      <c r="F13" s="61">
        <v>45852</v>
      </c>
      <c r="G13" s="62" t="s">
        <v>135</v>
      </c>
      <c r="H13" s="23" t="s">
        <v>178</v>
      </c>
      <c r="I13" s="23" t="s">
        <v>179</v>
      </c>
      <c r="J13" s="26" t="s">
        <v>180</v>
      </c>
    </row>
    <row r="14" spans="1:10" ht="30">
      <c r="A14" s="57" t="s">
        <v>181</v>
      </c>
      <c r="B14" s="27" t="s">
        <v>182</v>
      </c>
      <c r="C14" s="29" t="s">
        <v>183</v>
      </c>
      <c r="D14" s="28">
        <v>2100000</v>
      </c>
      <c r="E14" s="58">
        <v>45845</v>
      </c>
      <c r="F14" s="58">
        <v>45894</v>
      </c>
      <c r="G14" s="59" t="s">
        <v>135</v>
      </c>
      <c r="H14" s="29" t="s">
        <v>184</v>
      </c>
      <c r="I14" s="29" t="s">
        <v>137</v>
      </c>
      <c r="J14" s="6" t="s">
        <v>185</v>
      </c>
    </row>
    <row r="15" spans="1:10">
      <c r="A15" s="60" t="s">
        <v>186</v>
      </c>
      <c r="B15" s="21" t="s">
        <v>187</v>
      </c>
      <c r="C15" s="23" t="s">
        <v>188</v>
      </c>
      <c r="D15" s="22">
        <v>760000</v>
      </c>
      <c r="E15" s="61">
        <v>45873</v>
      </c>
      <c r="F15" s="61">
        <v>45908</v>
      </c>
      <c r="G15" s="62" t="s">
        <v>128</v>
      </c>
      <c r="H15" s="23" t="s">
        <v>189</v>
      </c>
      <c r="I15" s="23" t="s">
        <v>130</v>
      </c>
      <c r="J15" s="26" t="s">
        <v>190</v>
      </c>
    </row>
    <row r="16" spans="1:10" ht="30">
      <c r="A16" s="57" t="s">
        <v>191</v>
      </c>
      <c r="B16" s="27" t="s">
        <v>192</v>
      </c>
      <c r="C16" s="29" t="s">
        <v>193</v>
      </c>
      <c r="D16" s="28">
        <v>3600000</v>
      </c>
      <c r="E16" s="58">
        <v>45901</v>
      </c>
      <c r="F16" s="58">
        <v>45950</v>
      </c>
      <c r="G16" s="59" t="s">
        <v>135</v>
      </c>
      <c r="H16" s="29" t="s">
        <v>194</v>
      </c>
      <c r="I16" s="29" t="s">
        <v>195</v>
      </c>
      <c r="J16" s="6" t="s">
        <v>196</v>
      </c>
    </row>
    <row r="17" spans="1:10" ht="30">
      <c r="A17" s="60" t="s">
        <v>197</v>
      </c>
      <c r="B17" s="21" t="s">
        <v>198</v>
      </c>
      <c r="C17" s="23" t="s">
        <v>199</v>
      </c>
      <c r="D17" s="22">
        <v>1150000</v>
      </c>
      <c r="E17" s="61">
        <v>45936</v>
      </c>
      <c r="F17" s="61">
        <v>45978</v>
      </c>
      <c r="G17" s="62" t="s">
        <v>128</v>
      </c>
      <c r="H17" s="23" t="s">
        <v>200</v>
      </c>
      <c r="I17" s="23" t="s">
        <v>130</v>
      </c>
      <c r="J17" s="26" t="s">
        <v>201</v>
      </c>
    </row>
    <row r="18" spans="1:10">
      <c r="A18" s="57" t="s">
        <v>202</v>
      </c>
      <c r="B18" s="27" t="s">
        <v>203</v>
      </c>
      <c r="C18" s="29" t="s">
        <v>204</v>
      </c>
      <c r="D18" s="28">
        <v>520000</v>
      </c>
      <c r="E18" s="58">
        <v>45964</v>
      </c>
      <c r="F18" s="58">
        <v>45999</v>
      </c>
      <c r="G18" s="59" t="s">
        <v>135</v>
      </c>
      <c r="H18" s="29" t="s">
        <v>205</v>
      </c>
      <c r="I18" s="29" t="s">
        <v>206</v>
      </c>
      <c r="J18" s="6" t="s">
        <v>130</v>
      </c>
    </row>
    <row r="19" spans="1:10" ht="30">
      <c r="A19" s="60" t="s">
        <v>207</v>
      </c>
      <c r="B19" s="21" t="s">
        <v>208</v>
      </c>
      <c r="C19" s="23" t="s">
        <v>69</v>
      </c>
      <c r="D19" s="22">
        <v>1240000</v>
      </c>
      <c r="E19" s="61">
        <v>46034</v>
      </c>
      <c r="F19" s="61">
        <v>46076</v>
      </c>
      <c r="G19" s="62" t="s">
        <v>128</v>
      </c>
      <c r="H19" s="23" t="s">
        <v>209</v>
      </c>
      <c r="I19" s="23" t="s">
        <v>130</v>
      </c>
      <c r="J19" s="26" t="s">
        <v>210</v>
      </c>
    </row>
    <row r="20" spans="1:10" ht="30">
      <c r="A20" s="57" t="s">
        <v>211</v>
      </c>
      <c r="B20" s="27" t="s">
        <v>212</v>
      </c>
      <c r="C20" s="29" t="s">
        <v>134</v>
      </c>
      <c r="D20" s="28">
        <v>2650000</v>
      </c>
      <c r="E20" s="58">
        <v>46062</v>
      </c>
      <c r="F20" s="58">
        <v>46111</v>
      </c>
      <c r="G20" s="59" t="s">
        <v>135</v>
      </c>
      <c r="H20" s="29" t="s">
        <v>213</v>
      </c>
      <c r="I20" s="29" t="s">
        <v>137</v>
      </c>
      <c r="J20" s="6" t="s">
        <v>214</v>
      </c>
    </row>
    <row r="21" spans="1:10">
      <c r="A21" s="60" t="s">
        <v>215</v>
      </c>
      <c r="B21" s="21" t="s">
        <v>216</v>
      </c>
      <c r="C21" s="23" t="s">
        <v>217</v>
      </c>
      <c r="D21" s="22">
        <v>380000</v>
      </c>
      <c r="E21" s="61">
        <v>46090</v>
      </c>
      <c r="F21" s="61">
        <v>46125</v>
      </c>
      <c r="G21" s="62" t="s">
        <v>128</v>
      </c>
      <c r="H21" s="23" t="s">
        <v>218</v>
      </c>
      <c r="I21" s="23" t="s">
        <v>130</v>
      </c>
      <c r="J21" s="26" t="s">
        <v>219</v>
      </c>
    </row>
    <row r="22" spans="1:10" ht="30">
      <c r="A22" s="57" t="s">
        <v>220</v>
      </c>
      <c r="B22" s="27" t="s">
        <v>221</v>
      </c>
      <c r="C22" s="29" t="s">
        <v>127</v>
      </c>
      <c r="D22" s="28">
        <v>4900000</v>
      </c>
      <c r="E22" s="58">
        <v>46146</v>
      </c>
      <c r="F22" s="58">
        <v>46195</v>
      </c>
      <c r="G22" s="59" t="s">
        <v>135</v>
      </c>
      <c r="H22" s="29" t="s">
        <v>222</v>
      </c>
      <c r="I22" s="29" t="s">
        <v>137</v>
      </c>
      <c r="J22" s="6" t="s">
        <v>223</v>
      </c>
    </row>
    <row r="23" spans="1:10">
      <c r="A23" s="63" t="s">
        <v>224</v>
      </c>
      <c r="B23" s="64" t="s">
        <v>225</v>
      </c>
      <c r="C23" s="65" t="s">
        <v>145</v>
      </c>
      <c r="D23" s="66">
        <v>990000</v>
      </c>
      <c r="E23" s="67">
        <v>46188</v>
      </c>
      <c r="F23" s="67">
        <v>46230</v>
      </c>
      <c r="G23" s="68" t="s">
        <v>128</v>
      </c>
      <c r="H23" s="65" t="s">
        <v>226</v>
      </c>
      <c r="I23" s="65" t="s">
        <v>130</v>
      </c>
      <c r="J23" s="69" t="s">
        <v>227</v>
      </c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70" t="s">
        <v>228</v>
      </c>
      <c r="B25" s="71" t="s">
        <v>229</v>
      </c>
      <c r="C25" s="72" t="s">
        <v>24</v>
      </c>
      <c r="D25" s="2"/>
      <c r="E25" s="2"/>
      <c r="F25" s="2"/>
      <c r="G25" s="2"/>
      <c r="H25" s="2"/>
      <c r="I25" s="2"/>
      <c r="J25" s="2"/>
    </row>
    <row r="26" spans="1:10">
      <c r="A26" s="73" t="s">
        <v>128</v>
      </c>
      <c r="B26" s="74">
        <f>COUNTIF(G4:G23,"Won")</f>
        <v>10</v>
      </c>
      <c r="C26" s="75">
        <f>SUMIF(G4:G23,"Won",D4:D23)</f>
        <v>20230000</v>
      </c>
      <c r="D26" s="2"/>
      <c r="E26" s="2"/>
      <c r="F26" s="2"/>
      <c r="G26" s="2"/>
      <c r="H26" s="2"/>
      <c r="I26" s="2"/>
      <c r="J26" s="2"/>
    </row>
    <row r="27" spans="1:10">
      <c r="A27" s="73" t="s">
        <v>135</v>
      </c>
      <c r="B27" s="74">
        <f>COUNTIF(G4:G23,"Lost")</f>
        <v>10</v>
      </c>
      <c r="C27" s="75">
        <f>SUMIF(G4:G23,"Lost",D4:D23)</f>
        <v>26950000</v>
      </c>
      <c r="D27" s="2"/>
      <c r="E27" s="2"/>
      <c r="F27" s="2"/>
      <c r="G27" s="2"/>
      <c r="H27" s="2"/>
      <c r="I27" s="2"/>
      <c r="J27" s="2"/>
    </row>
    <row r="28" spans="1:10">
      <c r="A28" s="76" t="s">
        <v>230</v>
      </c>
      <c r="B28" s="77">
        <f>B26+B27</f>
        <v>20</v>
      </c>
      <c r="C28" s="78">
        <f>C26+C27</f>
        <v>47180000</v>
      </c>
      <c r="D28" s="2"/>
      <c r="E28" s="2"/>
      <c r="F28" s="2"/>
      <c r="G28" s="2"/>
      <c r="H28" s="2"/>
      <c r="I28" s="2"/>
      <c r="J28" s="2"/>
    </row>
    <row r="29" spans="1:10">
      <c r="A29" s="73" t="s">
        <v>231</v>
      </c>
      <c r="B29" s="79">
        <f>IF(B28=0,0,B26/B28)</f>
        <v>0.5</v>
      </c>
      <c r="C29" s="44"/>
      <c r="D29" s="2"/>
      <c r="E29" s="2"/>
      <c r="F29" s="2"/>
      <c r="G29" s="2"/>
      <c r="H29" s="2"/>
      <c r="I29" s="2"/>
      <c r="J29" s="2"/>
    </row>
    <row r="30" spans="1:10">
      <c r="A30" s="80" t="s">
        <v>232</v>
      </c>
      <c r="B30" s="81"/>
      <c r="C30" s="82">
        <f>IF(C28=0,0,C26/C28)</f>
        <v>0.42878338278931749</v>
      </c>
      <c r="D30" s="2"/>
      <c r="E30" s="2"/>
      <c r="F30" s="2"/>
      <c r="G30" s="2"/>
      <c r="H30" s="2"/>
      <c r="I30" s="2"/>
      <c r="J30" s="2"/>
    </row>
  </sheetData>
  <mergeCells count="2">
    <mergeCell ref="A1:J1"/>
    <mergeCell ref="A2:J2"/>
  </mergeCells>
  <conditionalFormatting sqref="G4:G23">
    <cfRule type="cellIs" dxfId="1" priority="1" operator="equal">
      <formula>"Won"</formula>
    </cfRule>
    <cfRule type="cellIs" dxfId="0" priority="2" operator="equal">
      <formula>"Lost"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i:0#.f|membership|loretteroos@microsoft.com</cp:lastModifiedBy>
  <cp:revision/>
  <dcterms:created xsi:type="dcterms:W3CDTF">2026-10-19T04:53:13Z</dcterms:created>
  <dcterms:modified xsi:type="dcterms:W3CDTF">2026-10-21T09:30:55Z</dcterms:modified>
  <cp:category/>
  <cp:contentStatus/>
</cp:coreProperties>
</file>