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microsofteur-my.sharepoint.com/personal/loretteroos_microsoft_com/Documents/Documents/Cowork/Tasks/create-copilot-presentation-deck-for-2026-10-05/output/Frontier Test Pack/"/>
    </mc:Choice>
  </mc:AlternateContent>
  <xr:revisionPtr revIDLastSave="26" documentId="13_ncr:101_{358CFD8B-C5B6-48B3-B603-65ED82D1B392}" xr6:coauthVersionLast="47" xr6:coauthVersionMax="47" xr10:uidLastSave="{7707BBC7-ADD5-47DE-AB2E-3389DB4D62B1}"/>
  <bookViews>
    <workbookView xWindow="-23150" yWindow="-110" windowWidth="23260" windowHeight="14860" xr2:uid="{00000000-000D-0000-FFFF-FFFF00000000}"/>
  </bookViews>
  <sheets>
    <sheet name="Read me" sheetId="1" r:id="rId1"/>
    <sheet name="RAID Log" sheetId="2" r:id="rId2"/>
    <sheet name="Summary" sheetId="3" r:id="rId3"/>
  </sheets>
  <definedNames>
    <definedName name="AsOfDate">'Read me'!$B$7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H7" i="3"/>
  <c r="G7" i="3"/>
  <c r="F7" i="3"/>
  <c r="E7" i="3"/>
  <c r="D7" i="3"/>
  <c r="C7" i="3"/>
  <c r="B7" i="3"/>
  <c r="H6" i="3"/>
  <c r="G6" i="3"/>
  <c r="F6" i="3"/>
  <c r="E6" i="3"/>
  <c r="D6" i="3"/>
  <c r="C6" i="3"/>
  <c r="B6" i="3"/>
  <c r="H5" i="3"/>
  <c r="G5" i="3"/>
  <c r="F5" i="3"/>
  <c r="E5" i="3"/>
  <c r="D5" i="3"/>
  <c r="C5" i="3"/>
  <c r="B5" i="3"/>
  <c r="H4" i="3"/>
  <c r="G4" i="3"/>
  <c r="F4" i="3"/>
  <c r="E4" i="3"/>
  <c r="D4" i="3"/>
  <c r="C4" i="3"/>
  <c r="B4" i="3"/>
  <c r="H3" i="3"/>
  <c r="G3" i="3"/>
  <c r="F3" i="3"/>
  <c r="E3" i="3"/>
  <c r="D3" i="3"/>
  <c r="C3" i="3"/>
  <c r="B3" i="3"/>
  <c r="P38" i="2"/>
  <c r="O38" i="2"/>
  <c r="P37" i="2"/>
  <c r="O37" i="2"/>
  <c r="P36" i="2"/>
  <c r="O36" i="2"/>
  <c r="P35" i="2"/>
  <c r="O35" i="2"/>
  <c r="P34" i="2"/>
  <c r="O34" i="2"/>
  <c r="P33" i="2"/>
  <c r="O33" i="2"/>
  <c r="P32" i="2"/>
  <c r="O32" i="2"/>
  <c r="P31" i="2"/>
  <c r="O31" i="2"/>
  <c r="P30" i="2"/>
  <c r="O30" i="2"/>
  <c r="P29" i="2"/>
  <c r="O29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P5" i="2"/>
  <c r="O5" i="2"/>
  <c r="P4" i="2"/>
  <c r="O4" i="2"/>
  <c r="P3" i="2"/>
  <c r="O3" i="2"/>
</calcChain>
</file>

<file path=xl/sharedStrings.xml><?xml version="1.0" encoding="utf-8"?>
<sst xmlns="http://schemas.openxmlformats.org/spreadsheetml/2006/main" count="451" uniqueCount="219">
  <si>
    <t>ZAV-HZN RAID Log</t>
  </si>
  <si>
    <t>Fictitious test data – Copilot for Frontier Consultancy scenario testing</t>
  </si>
  <si>
    <t>Purpose</t>
  </si>
  <si>
    <t>Risks, Assumptions, Issues and Dependencies register for the Zava Horizon programme. Use for testing Copilot Cowork scenarios such as RAID summaries, stale-item chasing, overdue reviews and SteerCo preparation.</t>
  </si>
  <si>
    <t>Programme</t>
  </si>
  <si>
    <t>Zava Horizon (ZAV-HZN) – Zava LLC, delivered by Frontier Consulting</t>
  </si>
  <si>
    <t>Data as of</t>
  </si>
  <si>
    <t>Monday 19 Oct 2026 (Dubai, UTC+4)</t>
  </si>
  <si>
    <t>As-of date (used in formulas)</t>
  </si>
  <si>
    <t>Currency</t>
  </si>
  <si>
    <t>AED</t>
  </si>
  <si>
    <t>Prepared by</t>
  </si>
  <si>
    <t>Priya Nair, Project Manager (Frontier Consulting) – scenario owner Lorette Roos</t>
  </si>
  <si>
    <t>Sheet</t>
  </si>
  <si>
    <t>Contents</t>
  </si>
  <si>
    <t>RAID Log</t>
  </si>
  <si>
    <t>36 RAID entries with owner, dates, probability/impact, RAG, status and mitigation. 'Days since update' and 'Stale / overdue flag' are calculated against the as-of date above.</t>
  </si>
  <si>
    <t>Summary</t>
  </si>
  <si>
    <t>Counts by type, RAG and status, plus stale and overdue counts (formulas).</t>
  </si>
  <si>
    <t>Rules</t>
  </si>
  <si>
    <t>Stale = open item not updated for more than 21 days. Overdue = open item with due date before the as-of date.</t>
  </si>
  <si>
    <t>Important</t>
  </si>
  <si>
    <t>Fictitious test data – Copilot for Frontier Consultancy scenario testing. All companies, people and figures are fictitious and must not be used for real decisions.</t>
  </si>
  <si>
    <t>ZAV-HZN RAID Log   |   Fictitious test data – Copilot for Frontier Consultancy scenario testing</t>
  </si>
  <si>
    <t>ID</t>
  </si>
  <si>
    <t>Type</t>
  </si>
  <si>
    <t>Title</t>
  </si>
  <si>
    <t>Description</t>
  </si>
  <si>
    <t>Workstream</t>
  </si>
  <si>
    <t>Owner</t>
  </si>
  <si>
    <t>Raised date</t>
  </si>
  <si>
    <t>Due date</t>
  </si>
  <si>
    <t>Probability</t>
  </si>
  <si>
    <t>Impact</t>
  </si>
  <si>
    <t>RAG</t>
  </si>
  <si>
    <t>Status</t>
  </si>
  <si>
    <t>Mitigation/Next step</t>
  </si>
  <si>
    <t>Last updated</t>
  </si>
  <si>
    <t>Days since update</t>
  </si>
  <si>
    <t>Stale / overdue flag</t>
  </si>
  <si>
    <t>R-001</t>
  </si>
  <si>
    <t>Risk</t>
  </si>
  <si>
    <t>CargoWise API delay pushes Integration build into SIT</t>
  </si>
  <si>
    <t>Late vendor API specification means CargoWise shipment and invoice interfaces cannot be completed in Build; risk that SIT (30 Nov–18 Dec) starts without end-to-end freight flows.</t>
  </si>
  <si>
    <t>Integration</t>
  </si>
  <si>
    <t>Arjun Mehta</t>
  </si>
  <si>
    <t>High</t>
  </si>
  <si>
    <t>RED</t>
  </si>
  <si>
    <t>Open</t>
  </si>
  <si>
    <t>Escalated to CargoWise account manager via Ravi Kumar; build against draft spec with mock service; re-plan Sprint 5 if spec not received by 23 Oct.</t>
  </si>
  <si>
    <t>R-002</t>
  </si>
  <si>
    <t>Reduced Finance SME availability during UAT</t>
  </si>
  <si>
    <t>UAT (11–29 Jan 2027) overlaps ZVQA year-end close; Hassan Ali's team may not be able to execute finance UAT scripts.</t>
  </si>
  <si>
    <t>PMO</t>
  </si>
  <si>
    <t>Priya Nair</t>
  </si>
  <si>
    <t>Medium</t>
  </si>
  <si>
    <t>AMBER</t>
  </si>
  <si>
    <t>Options paper for SteerCo 28 Oct: split UAT into two waves or bring ZVQA scripts forward to SIT week 3.</t>
  </si>
  <si>
    <t>R-003</t>
  </si>
  <si>
    <t>ZATCA e-invoicing ISV not selected in time for ZVSA SIT</t>
  </si>
  <si>
    <t>Without an ISV decision the ZVSA e-invoicing connector cannot be configured or tested before SIT; compliance risk at go-live.</t>
  </si>
  <si>
    <t>Finance</t>
  </si>
  <si>
    <t>James Okafor</t>
  </si>
  <si>
    <t>Shortlist of two ISVs issued to Nadia Farouk; decision requested.</t>
  </si>
  <si>
    <t>R-004</t>
  </si>
  <si>
    <t>Vendor master duplicates inflate migration volume</t>
  </si>
  <si>
    <t>14% duplicate vendors in legacy GP 2018 and Tally risk duplicate payments and failed migration loads.</t>
  </si>
  <si>
    <t>Data Migration</t>
  </si>
  <si>
    <t>Noura Al Hashimi</t>
  </si>
  <si>
    <t>De-duplication rules agreed; Hassan Ali's team to confirm golden records by entity.</t>
  </si>
  <si>
    <t>R-005</t>
  </si>
  <si>
    <t>Warehouse mobile device decision delays WMS testing</t>
  </si>
  <si>
    <t>No decision on handheld devices; warehouse mobile app flows cannot be tested on target hardware.</t>
  </si>
  <si>
    <t>Supply Chain/Warehousing</t>
  </si>
  <si>
    <t>Rahul Verma</t>
  </si>
  <si>
    <t>Device comparison sent to Grace Lee; awaiting decision.</t>
  </si>
  <si>
    <t>R-006</t>
  </si>
  <si>
    <t>Programme spend ahead of plan</t>
  </si>
  <si>
    <t>Spend to 30 Sep 2026 is AED 3.05m against plan of AED 2.85m (+7.0%); continued overrun would draw down the AED 0.6m contingency early.</t>
  </si>
  <si>
    <t>Forecast to complete re-baselined; contingency drawdown request for CargoWise rework to SteerCo 28 Oct.</t>
  </si>
  <si>
    <t>R-007</t>
  </si>
  <si>
    <t>Group Financial Controller time split with BAU</t>
  </si>
  <si>
    <t>Hassan Ali is splitting time between BAU month-end and design walkthroughs; finance decisions are slowing.</t>
  </si>
  <si>
    <t>Request a delegate from Hassan Ali's team for day-to-day decisions.</t>
  </si>
  <si>
    <t>R-008</t>
  </si>
  <si>
    <t>Copilot adoption stalls beyond the pilot group</t>
  </si>
  <si>
    <t>Weekly active usage outside the 120 pilot users may stay low once the 600 licences are assigned.</t>
  </si>
  <si>
    <t>Change &amp; Copilot Adoption</t>
  </si>
  <si>
    <t>Tom Becker</t>
  </si>
  <si>
    <t>GREEN</t>
  </si>
  <si>
    <t>Champions network by department; persona-based training wave 2.</t>
  </si>
  <si>
    <t>R-009</t>
  </si>
  <si>
    <t>Oversharing exposes sensitive content through Copilot</t>
  </si>
  <si>
    <t>SharePoint readiness scan flags 37 of 60 sites shared with 'Everyone except external users', including HR-Payroll and Finance-Board.</t>
  </si>
  <si>
    <t>Remove EEEU permissions on flagged sites; apply sensitivity labels; restricted SharePoint search for HR and Finance sites.</t>
  </si>
  <si>
    <t>R-010</t>
  </si>
  <si>
    <t>Pricing accuracy risk from CR-009</t>
  </si>
  <si>
    <t>Replacing the bespoke rate-card engine with standard trade agreements saves 12 days but may not reproduce all surcharge rules.</t>
  </si>
  <si>
    <t>Sales &amp; Service CE</t>
  </si>
  <si>
    <t>Lina Mansour</t>
  </si>
  <si>
    <t>Run 200 historical quotes through trade agreements and compare before SteerCo decision.</t>
  </si>
  <si>
    <t>R-011</t>
  </si>
  <si>
    <t>Tally (KSA) extraction quality for opening balances</t>
  </si>
  <si>
    <t>Tally exports for ZVSA lack dimension detail; opening balance load may need manual mapping.</t>
  </si>
  <si>
    <t>Mapping workbook with ZVSA finance team.</t>
  </si>
  <si>
    <t>R-012</t>
  </si>
  <si>
    <t>Case queue design misaligned with shift model</t>
  </si>
  <si>
    <t>Customer Service queues did not reflect Samir Haddad's three-shift model.</t>
  </si>
  <si>
    <t>Low</t>
  </si>
  <si>
    <t>Closed</t>
  </si>
  <si>
    <t>Queue design reworked and signed off by Samir Haddad.</t>
  </si>
  <si>
    <t>R-013</t>
  </si>
  <si>
    <t>Hypercare overlaps Ramadan 2027</t>
  </si>
  <si>
    <t>Ramadan (expected mid-Feb to mid-Mar 2027) reduces working hours during cutover and hypercare.</t>
  </si>
  <si>
    <t>Agree reduced-hours hypercare rota with Elena Petrova; extend hypercare support desk hours.</t>
  </si>
  <si>
    <t>R-014</t>
  </si>
  <si>
    <t>Intercompany posting performance across five entities</t>
  </si>
  <si>
    <t>High intercompany volumes between ZVAE, ZVSA, ZVOM, ZVQA and ZVHQ may breach batch windows.</t>
  </si>
  <si>
    <t>Performance test in SIT with production-like volumes.</t>
  </si>
  <si>
    <t>A-001</t>
  </si>
  <si>
    <t>Assumption</t>
  </si>
  <si>
    <t>Zava SMEs available 3 days a week during Build</t>
  </si>
  <si>
    <t>Each workstream has a named Zava SME for at least 3 days a week until end of Build.</t>
  </si>
  <si>
    <t>Track SME attendance in PMO status.</t>
  </si>
  <si>
    <t>A-002</t>
  </si>
  <si>
    <t>CargoWise vendor delivers final API spec by 23 Oct 2026</t>
  </si>
  <si>
    <t>Integration re-plan assumes final spec by end of Sprint 4.</t>
  </si>
  <si>
    <t>Daily chase; fallback plan is file-based interface for go-live.</t>
  </si>
  <si>
    <t>A-003</t>
  </si>
  <si>
    <t>Standard trade agreements cover about 90% of rate-card scenarios</t>
  </si>
  <si>
    <t>Basis for the CR-009 estimate of 12 days saved.</t>
  </si>
  <si>
    <t>Validate with quote sample (see R-010).</t>
  </si>
  <si>
    <t>A-004</t>
  </si>
  <si>
    <t>Opening balances migrated at trial-balance level</t>
  </si>
  <si>
    <t>No open-item history older than 2 years will be migrated.</t>
  </si>
  <si>
    <t>Confirmed in design sign-off 4 Sep 2026.</t>
  </si>
  <si>
    <t>A-005</t>
  </si>
  <si>
    <t>All 600 Copilot licences assigned before training wave 2</t>
  </si>
  <si>
    <t>Training wave 2 assumes licences are assigned to all target users.</t>
  </si>
  <si>
    <t>Confirm assignment report with Ravi Kumar.</t>
  </si>
  <si>
    <t>A-006</t>
  </si>
  <si>
    <t>Azure integration environment provisioned by Zava IT</t>
  </si>
  <si>
    <t>Logic Apps, Service Bus and Key Vault provisioned by Ravi Kumar's team.</t>
  </si>
  <si>
    <t>Raise with Ravi Kumar at PMO status.</t>
  </si>
  <si>
    <t>A-007</t>
  </si>
  <si>
    <t>Single go-live wave for all five legal entities</t>
  </si>
  <si>
    <t>Go-live on Mon 1 Mar 2027 for ZVAE, ZVSA, ZVOM, ZVQA and ZVHQ together.</t>
  </si>
  <si>
    <t>Revisit at SteerCo if ZVQA year-end impact grows.</t>
  </si>
  <si>
    <t>I-001</t>
  </si>
  <si>
    <t>Issue</t>
  </si>
  <si>
    <t>CargoWise integration delayed – vendor API spec late</t>
  </si>
  <si>
    <t>Vendor API specification is late; shipment, job costing and invoice interfaces blocked. Six Sprint 4 backlog items are blocked.</t>
  </si>
  <si>
    <t>Escalation letter to vendor; mock service build; decision at SteerCo 28 Oct on file-based fallback.</t>
  </si>
  <si>
    <t>I-002</t>
  </si>
  <si>
    <t>ZATCA e-invoicing ISV decision outstanding for ZVSA</t>
  </si>
  <si>
    <t>ISV decision needed to configure ZVSA e-invoicing (Phase 2 integration).</t>
  </si>
  <si>
    <t>Decision paper with Nadia Farouk; add to SteerCo agenda.</t>
  </si>
  <si>
    <t>I-003</t>
  </si>
  <si>
    <t>Legacy vendor master has 14% duplicates</t>
  </si>
  <si>
    <t>Profiling of GP 2018 and Tally vendor master found 14% duplicates across entities.</t>
  </si>
  <si>
    <t>Cleansing in progress; dedup trial load in Sprint 5.</t>
  </si>
  <si>
    <t>I-004</t>
  </si>
  <si>
    <t>UAT clashes with ZVQA year-end close</t>
  </si>
  <si>
    <t>UAT window 11–29 Jan 2027 overlaps ZVQA year-end close activities.</t>
  </si>
  <si>
    <t>Options to SteerCo 28 Oct.</t>
  </si>
  <si>
    <t>I-005</t>
  </si>
  <si>
    <t>Warehouse mobile device decision outstanding</t>
  </si>
  <si>
    <t>Handheld scanner model not selected; blocks WMS mobile testing and device procurement lead time (8 weeks).</t>
  </si>
  <si>
    <t>Grace Lee to decide; escalate to Ravi Kumar if no decision.</t>
  </si>
  <si>
    <t>I-006</t>
  </si>
  <si>
    <t>Sprint 4 velocity reduced by CargoWise blockers</t>
  </si>
  <si>
    <t>Sprint 4 is about 70% complete with six items blocked by CargoWise.</t>
  </si>
  <si>
    <t>Pull forward Sprint 5 Finance stories; carry blocked items.</t>
  </si>
  <si>
    <t>I-007</t>
  </si>
  <si>
    <t>UAT environment refresh failed</t>
  </si>
  <si>
    <t>Tier 2 environment refresh from build failed due to storage capacity.</t>
  </si>
  <si>
    <t>Capacity added; refresh re-run successfully.</t>
  </si>
  <si>
    <t>I-008</t>
  </si>
  <si>
    <t>GP 2018 Qatar chart of accounts mapping incomplete</t>
  </si>
  <si>
    <t>ZVQA chart of accounts mapping to the new global COA is 60% complete.</t>
  </si>
  <si>
    <t>Workshop with ZVQA finance.</t>
  </si>
  <si>
    <t>I-009</t>
  </si>
  <si>
    <t>37 SharePoint sites flagged for oversharing</t>
  </si>
  <si>
    <t>Copilot readiness scan flagged 37 of 60 sites, including HR-Payroll and Finance-Board.</t>
  </si>
  <si>
    <t>Site owners notified; remediation tracker started.</t>
  </si>
  <si>
    <t>D-001</t>
  </si>
  <si>
    <t>Dependency</t>
  </si>
  <si>
    <t>CargoWise vendor API specification</t>
  </si>
  <si>
    <t>Integration build depends on final API specification from the CargoWise vendor.</t>
  </si>
  <si>
    <t>Chase via Ravi Kumar; escalate at SteerCo.</t>
  </si>
  <si>
    <t>D-002</t>
  </si>
  <si>
    <t>ZATCA e-invoicing ISV selection</t>
  </si>
  <si>
    <t>ZVSA e-invoicing configuration depends on ISV contract.</t>
  </si>
  <si>
    <t>Decision requested from Nadia Farouk.</t>
  </si>
  <si>
    <t>D-003</t>
  </si>
  <si>
    <t>Zava IT procurement of warehouse mobile devices</t>
  </si>
  <si>
    <t>Device delivery needed for UAT; 8-week lead time after decision.</t>
  </si>
  <si>
    <t>Ravi Kumar</t>
  </si>
  <si>
    <t>Procurement to start on device decision.</t>
  </si>
  <si>
    <t>D-004</t>
  </si>
  <si>
    <t>House bank payment and statement file formats</t>
  </si>
  <si>
    <t>Bank integration depends on file specifications from UAE, KSA and Oman house banks.</t>
  </si>
  <si>
    <t>Formats received for UAE; KSA and Oman pending.</t>
  </si>
  <si>
    <t>D-005</t>
  </si>
  <si>
    <t>SteerCo decision on CR-007, CR-008 and CR-009</t>
  </si>
  <si>
    <t>Sprint 5 and 6 scope depends on SteerCo decisions on 28 Oct.</t>
  </si>
  <si>
    <t>CR packs circulated to Nadia Farouk and Ravi Kumar.</t>
  </si>
  <si>
    <t>D-006</t>
  </si>
  <si>
    <t>Entra ID groups and Conditional Access for Copilot</t>
  </si>
  <si>
    <t>Copilot rollout depends on licence groups and Conditional Access policies.</t>
  </si>
  <si>
    <t>Configured by Zava IT.</t>
  </si>
  <si>
    <t>ZAV-HZN RAID summary   |   Fictitious test data – Copilot for Frontier Consultancy scenario testing</t>
  </si>
  <si>
    <t>Total</t>
  </si>
  <si>
    <t>RED (open)</t>
  </si>
  <si>
    <t>AMBER (open)</t>
  </si>
  <si>
    <t>GREEN (open)</t>
  </si>
  <si>
    <t>Overdue (open)</t>
  </si>
  <si>
    <t>Stale (open)</t>
  </si>
  <si>
    <t>Check: total entries on RAID Log (should equal B7)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</si>
</sst>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0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i/>
      <sz val="11"/>
      <color rgb="FF7A4A00"/>
      <name val="Calibri"/>
    </font>
    <font>
      <b/>
      <sz val="11"/>
      <color rgb="FF1B3A57"/>
      <name val="Calibri"/>
    </font>
    <font>
      <sz val="11"/>
      <color rgb="FF0000FF"/>
      <name val="Calibri"/>
    </font>
    <font>
      <b/>
      <sz val="14"/>
      <color rgb="FF1B3A57"/>
      <name val="Calibri"/>
    </font>
    <font>
      <i/>
      <sz val="11"/>
      <color rgb="FF59595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A57"/>
        <bgColor indexed="64"/>
      </patternFill>
    </fill>
    <fill>
      <patternFill patternType="solid">
        <fgColor rgb="FFFDF0DC"/>
        <bgColor indexed="64"/>
      </patternFill>
    </fill>
    <fill>
      <patternFill patternType="solid">
        <fgColor rgb="FFEAF1F6"/>
        <bgColor indexed="64"/>
      </patternFill>
    </fill>
    <fill>
      <patternFill patternType="solid">
        <fgColor rgb="FFF2A93B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B3A57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164" fontId="7" fillId="0" borderId="0" xfId="0" applyNumberFormat="1" applyFont="1" applyAlignment="1">
      <alignment horizontal="left" vertical="top" wrapText="1"/>
    </xf>
    <xf numFmtId="0" fontId="3" fillId="2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 wrapText="1"/>
    </xf>
    <xf numFmtId="0" fontId="1" fillId="4" borderId="0" xfId="0" applyFont="1" applyFill="1"/>
    <xf numFmtId="3" fontId="1" fillId="0" borderId="0" xfId="0" applyNumberFormat="1" applyFont="1" applyAlignment="1">
      <alignment horizontal="center"/>
    </xf>
    <xf numFmtId="3" fontId="1" fillId="4" borderId="0" xfId="0" applyNumberFormat="1" applyFont="1" applyFill="1" applyAlignment="1">
      <alignment horizontal="center"/>
    </xf>
    <xf numFmtId="0" fontId="2" fillId="5" borderId="1" xfId="0" applyFont="1" applyFill="1" applyBorder="1"/>
    <xf numFmtId="3" fontId="2" fillId="5" borderId="1" xfId="0" applyNumberFormat="1" applyFont="1" applyFill="1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4" fillId="2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\ mmm\ 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\ mmm\ yyyy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\ mmm\ yyyy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B3A57"/>
        </patternFill>
      </fill>
      <alignment horizontal="general" vertical="center" textRotation="0" wrapText="1" indent="0" justifyLastLine="0" shrinkToFit="0" readingOrder="0"/>
    </dxf>
    <dxf>
      <font>
        <color rgb="FF8A5300"/>
      </font>
      <fill>
        <patternFill patternType="solid">
          <fgColor indexed="64"/>
          <bgColor rgb="FFFFE8C2"/>
        </patternFill>
      </fill>
    </dxf>
    <dxf>
      <font>
        <b/>
        <i val="0"/>
        <color rgb="FF9C0006"/>
      </font>
      <fill>
        <patternFill patternType="solid">
          <fgColor indexed="64"/>
          <bgColor rgb="FFF8D7DA"/>
        </patternFill>
      </fill>
    </dxf>
    <dxf>
      <font>
        <b/>
        <i val="0"/>
        <color rgb="FF1E6B34"/>
      </font>
      <fill>
        <patternFill patternType="solid">
          <fgColor indexed="64"/>
          <bgColor rgb="FFD6EFDD"/>
        </patternFill>
      </fill>
    </dxf>
    <dxf>
      <font>
        <b/>
        <i val="0"/>
        <color rgb="FF8A5300"/>
      </font>
      <fill>
        <patternFill patternType="solid">
          <fgColor indexed="64"/>
          <bgColor rgb="FFFFE8C2"/>
        </patternFill>
      </fill>
    </dxf>
    <dxf>
      <font>
        <b/>
        <i val="0"/>
        <color rgb="FF9C0006"/>
      </font>
      <fill>
        <patternFill patternType="solid">
          <fgColor indexed="64"/>
          <b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open RAID items are AMBER; CargoWise drives the REDs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Summary!$A$3</c:f>
              <c:strCache>
                <c:ptCount val="1"/>
                <c:pt idx="0">
                  <c:v>Risk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Summary!$B$3:$F$3</c:f>
              <c:numCache>
                <c:formatCode>#,##0</c:formatCode>
                <c:ptCount val="5"/>
                <c:pt idx="0">
                  <c:v>14</c:v>
                </c:pt>
                <c:pt idx="1">
                  <c:v>13</c:v>
                </c:pt>
                <c:pt idx="2">
                  <c:v>1</c:v>
                </c:pt>
                <c:pt idx="3">
                  <c:v>9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A-4C0E-AA98-BC65C98272E9}"/>
            </c:ext>
          </c:extLst>
        </c:ser>
        <c:ser>
          <c:idx val="1"/>
          <c:order val="1"/>
          <c:tx>
            <c:strRef>
              <c:f>Summary!$A$4</c:f>
              <c:strCache>
                <c:ptCount val="1"/>
                <c:pt idx="0">
                  <c:v>Assumption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Summary!$B$4:$F$4</c:f>
              <c:numCache>
                <c:formatCode>#,##0</c:formatCode>
                <c:ptCount val="5"/>
                <c:pt idx="0">
                  <c:v>7</c:v>
                </c:pt>
                <c:pt idx="1">
                  <c:v>6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CA-4C0E-AA98-BC65C98272E9}"/>
            </c:ext>
          </c:extLst>
        </c:ser>
        <c:ser>
          <c:idx val="2"/>
          <c:order val="2"/>
          <c:tx>
            <c:strRef>
              <c:f>Summary!$A$5</c:f>
              <c:strCache>
                <c:ptCount val="1"/>
                <c:pt idx="0">
                  <c:v>Issue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Summary!$B$5:$F$5</c:f>
              <c:numCache>
                <c:formatCode>#,##0</c:formatCode>
                <c:ptCount val="5"/>
                <c:pt idx="0">
                  <c:v>9</c:v>
                </c:pt>
                <c:pt idx="1">
                  <c:v>8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CA-4C0E-AA98-BC65C98272E9}"/>
            </c:ext>
          </c:extLst>
        </c:ser>
        <c:ser>
          <c:idx val="3"/>
          <c:order val="3"/>
          <c:tx>
            <c:strRef>
              <c:f>Summary!$A$6</c:f>
              <c:strCache>
                <c:ptCount val="1"/>
                <c:pt idx="0">
                  <c:v>Dependency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Summary!$B$6:$F$6</c:f>
              <c:numCache>
                <c:formatCode>#,##0</c:formatCode>
                <c:ptCount val="5"/>
                <c:pt idx="0">
                  <c:v>6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CA-4C0E-AA98-BC65C9827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933448"/>
        <c:axId val="1095951880"/>
      </c:barChart>
      <c:catAx>
        <c:axId val="1095933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951880"/>
        <c:crosses val="autoZero"/>
        <c:auto val="1"/>
        <c:lblAlgn val="ctr"/>
        <c:lblOffset val="100"/>
        <c:noMultiLvlLbl val="0"/>
      </c:catAx>
      <c:valAx>
        <c:axId val="1095951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93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E15EAE-23F8-AD53-C5C1-E133375FA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05502E-A38A-486D-A275-3BE2BFB21DF8}" name="RAID" displayName="RAID" ref="A2:P38" totalsRowShown="0" headerRowDxfId="17" dataDxfId="16">
  <autoFilter ref="A2:P38" xr:uid="{9105502E-A38A-486D-A275-3BE2BFB21DF8}"/>
  <tableColumns count="16">
    <tableColumn id="1" xr3:uid="{53B955E9-7144-439A-8AC5-94E7CAF2B4B2}" name="ID" dataDxfId="15"/>
    <tableColumn id="2" xr3:uid="{ADAF0134-CDD3-4BC4-815B-24FCCF2EF993}" name="Type" dataDxfId="14"/>
    <tableColumn id="3" xr3:uid="{A23D15AF-8341-4A6E-9C2A-010E2FA19B75}" name="Title" dataDxfId="13"/>
    <tableColumn id="4" xr3:uid="{7F35AA4E-6159-4DDB-BE44-808975DF2EC7}" name="Description" dataDxfId="12"/>
    <tableColumn id="5" xr3:uid="{0816F6E8-3147-4B38-B6A3-786EEC66EFE2}" name="Workstream" dataDxfId="11"/>
    <tableColumn id="6" xr3:uid="{9DD925DA-FDFE-42E3-B4C8-8139DFDDABE6}" name="Owner" dataDxfId="10"/>
    <tableColumn id="7" xr3:uid="{BBB4C4E5-0CD1-4404-9BC5-B38E090BEC9D}" name="Raised date" dataDxfId="9"/>
    <tableColumn id="8" xr3:uid="{2DDCA40A-864E-4823-ABC7-B8AF003CF147}" name="Due date" dataDxfId="8"/>
    <tableColumn id="9" xr3:uid="{83F2873E-2194-4535-BEA0-EAB2E911FE90}" name="Probability" dataDxfId="7"/>
    <tableColumn id="10" xr3:uid="{916AD372-B654-45F9-9357-1EE43850186D}" name="Impact" dataDxfId="6"/>
    <tableColumn id="11" xr3:uid="{FF38868A-5D24-48F6-A163-A5CF820EDC16}" name="RAG" dataDxfId="5"/>
    <tableColumn id="12" xr3:uid="{6EB254DD-DD7B-4430-9C54-012290BABD7B}" name="Status" dataDxfId="4"/>
    <tableColumn id="13" xr3:uid="{E9A99FAB-7356-4AB7-88FE-EEE9737BEBE0}" name="Mitigation/Next step" dataDxfId="3"/>
    <tableColumn id="14" xr3:uid="{3D43BE1B-0B90-46C0-82C8-C7ED1CE61DE9}" name="Last updated" dataDxfId="2"/>
    <tableColumn id="15" xr3:uid="{0F5F0224-3E84-4EF4-A02E-F10DB2C98C6C}" name="Days since update" dataDxfId="1">
      <calculatedColumnFormula>IF(L3="Closed","",AsOfDate-N3)</calculatedColumnFormula>
    </tableColumn>
    <tableColumn id="16" xr3:uid="{E5F17919-F257-44A5-9A67-043A4AEA064F}" name="Stale / overdue flag" dataDxfId="0">
      <calculatedColumnFormula>IF(L3="Closed","",IF(AND(H3&lt;AsOfDate,AsOfDate-N3&gt;21),"Overdue &amp; stale",IF(H3&lt;AsOfDate,"Overdue",IF(AsOfDate-N3&gt;21,"Stale",""))))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pane ySplit="2" topLeftCell="A3" activePane="bottomLeft" state="frozen"/>
      <selection pane="bottomLeft" sqref="A1:B1"/>
    </sheetView>
  </sheetViews>
  <sheetFormatPr defaultRowHeight="15"/>
  <cols>
    <col min="1" max="1" width="30.7109375" customWidth="1"/>
    <col min="2" max="2" width="110.7109375" customWidth="1"/>
  </cols>
  <sheetData>
    <row r="1" spans="1:2" ht="21">
      <c r="A1" s="22" t="s">
        <v>0</v>
      </c>
      <c r="B1" s="22"/>
    </row>
    <row r="2" spans="1:2">
      <c r="A2" s="23" t="s">
        <v>1</v>
      </c>
      <c r="B2" s="23"/>
    </row>
    <row r="3" spans="1:2">
      <c r="A3" s="3"/>
      <c r="B3" s="3"/>
    </row>
    <row r="4" spans="1:2" ht="30.75">
      <c r="A4" s="4" t="s">
        <v>2</v>
      </c>
      <c r="B4" s="3" t="s">
        <v>3</v>
      </c>
    </row>
    <row r="5" spans="1:2">
      <c r="A5" s="4" t="s">
        <v>4</v>
      </c>
      <c r="B5" s="3" t="s">
        <v>5</v>
      </c>
    </row>
    <row r="6" spans="1:2">
      <c r="A6" s="4" t="s">
        <v>6</v>
      </c>
      <c r="B6" s="3" t="s">
        <v>7</v>
      </c>
    </row>
    <row r="7" spans="1:2">
      <c r="A7" s="4" t="s">
        <v>8</v>
      </c>
      <c r="B7" s="8">
        <v>46314</v>
      </c>
    </row>
    <row r="8" spans="1:2">
      <c r="A8" s="4" t="s">
        <v>9</v>
      </c>
      <c r="B8" s="3" t="s">
        <v>10</v>
      </c>
    </row>
    <row r="9" spans="1:2">
      <c r="A9" s="4" t="s">
        <v>11</v>
      </c>
      <c r="B9" s="3" t="s">
        <v>12</v>
      </c>
    </row>
    <row r="10" spans="1:2">
      <c r="A10" s="4"/>
      <c r="B10" s="3"/>
    </row>
    <row r="11" spans="1:2">
      <c r="A11" s="5" t="s">
        <v>13</v>
      </c>
      <c r="B11" s="5" t="s">
        <v>14</v>
      </c>
    </row>
    <row r="12" spans="1:2" ht="30">
      <c r="A12" s="4" t="s">
        <v>15</v>
      </c>
      <c r="B12" s="3" t="s">
        <v>16</v>
      </c>
    </row>
    <row r="13" spans="1:2">
      <c r="A13" s="4" t="s">
        <v>17</v>
      </c>
      <c r="B13" s="3" t="s">
        <v>18</v>
      </c>
    </row>
    <row r="14" spans="1:2">
      <c r="A14" s="4"/>
      <c r="B14" s="3"/>
    </row>
    <row r="15" spans="1:2">
      <c r="A15" s="4" t="s">
        <v>19</v>
      </c>
      <c r="B15" s="3" t="s">
        <v>20</v>
      </c>
    </row>
    <row r="16" spans="1:2">
      <c r="A16" s="4"/>
      <c r="B16" s="3"/>
    </row>
    <row r="17" spans="1:2" ht="30">
      <c r="A17" s="6" t="s">
        <v>21</v>
      </c>
      <c r="B17" s="7" t="s">
        <v>22</v>
      </c>
    </row>
  </sheetData>
  <mergeCells count="2">
    <mergeCell ref="A1:B1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F243-B687-4737-8687-20FF52F8A995}">
  <dimension ref="A1:P3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40.7109375" customWidth="1"/>
    <col min="4" max="4" width="60.7109375" customWidth="1"/>
    <col min="5" max="5" width="24.7109375" customWidth="1"/>
    <col min="6" max="6" width="18.7109375" customWidth="1"/>
    <col min="7" max="8" width="12.7109375" customWidth="1"/>
    <col min="9" max="9" width="11.7109375" customWidth="1"/>
    <col min="10" max="10" width="10.7109375" customWidth="1"/>
    <col min="11" max="12" width="9.7109375" customWidth="1"/>
    <col min="13" max="13" width="55.7109375" customWidth="1"/>
    <col min="14" max="14" width="13.7109375" customWidth="1"/>
    <col min="15" max="15" width="10.7109375" customWidth="1"/>
    <col min="16" max="16" width="16.7109375" customWidth="1"/>
  </cols>
  <sheetData>
    <row r="1" spans="1:16" ht="24" customHeight="1">
      <c r="A1" s="24" t="s">
        <v>23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32.25" customHeight="1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34</v>
      </c>
      <c r="L2" s="9" t="s">
        <v>35</v>
      </c>
      <c r="M2" s="9" t="s">
        <v>36</v>
      </c>
      <c r="N2" s="9" t="s">
        <v>37</v>
      </c>
      <c r="O2" s="9" t="s">
        <v>38</v>
      </c>
      <c r="P2" s="9" t="s">
        <v>39</v>
      </c>
    </row>
    <row r="3" spans="1:16" ht="45">
      <c r="A3" s="2" t="s">
        <v>40</v>
      </c>
      <c r="B3" s="2" t="s">
        <v>41</v>
      </c>
      <c r="C3" s="3" t="s">
        <v>42</v>
      </c>
      <c r="D3" s="3" t="s">
        <v>43</v>
      </c>
      <c r="E3" s="2" t="s">
        <v>44</v>
      </c>
      <c r="F3" s="2" t="s">
        <v>45</v>
      </c>
      <c r="G3" s="12">
        <v>46280</v>
      </c>
      <c r="H3" s="12">
        <v>46325</v>
      </c>
      <c r="I3" s="13" t="s">
        <v>46</v>
      </c>
      <c r="J3" s="13" t="s">
        <v>46</v>
      </c>
      <c r="K3" s="13" t="s">
        <v>47</v>
      </c>
      <c r="L3" s="13" t="s">
        <v>48</v>
      </c>
      <c r="M3" s="3" t="s">
        <v>49</v>
      </c>
      <c r="N3" s="10">
        <v>46311</v>
      </c>
      <c r="O3" s="11">
        <f t="shared" ref="O3:O38" si="0">IF(L3="Closed","",AsOfDate-N3)</f>
        <v>3</v>
      </c>
      <c r="P3" s="2" t="str">
        <f t="shared" ref="P3:P38" si="1">IF(L3="Closed","",IF(AND(H3&lt;AsOfDate,AsOfDate-N3&gt;21),"Overdue &amp; stale",IF(H3&lt;AsOfDate,"Overdue",IF(AsOfDate-N3&gt;21,"Stale",""))))</f>
        <v/>
      </c>
    </row>
    <row r="4" spans="1:16" ht="30.75">
      <c r="A4" s="2" t="s">
        <v>50</v>
      </c>
      <c r="B4" s="2" t="s">
        <v>41</v>
      </c>
      <c r="C4" s="3" t="s">
        <v>51</v>
      </c>
      <c r="D4" s="3" t="s">
        <v>52</v>
      </c>
      <c r="E4" s="2" t="s">
        <v>53</v>
      </c>
      <c r="F4" s="2" t="s">
        <v>54</v>
      </c>
      <c r="G4" s="12">
        <v>46287</v>
      </c>
      <c r="H4" s="12">
        <v>46332</v>
      </c>
      <c r="I4" s="13" t="s">
        <v>55</v>
      </c>
      <c r="J4" s="13" t="s">
        <v>46</v>
      </c>
      <c r="K4" s="13" t="s">
        <v>56</v>
      </c>
      <c r="L4" s="13" t="s">
        <v>48</v>
      </c>
      <c r="M4" s="3" t="s">
        <v>57</v>
      </c>
      <c r="N4" s="10">
        <v>46308</v>
      </c>
      <c r="O4" s="11">
        <f t="shared" si="0"/>
        <v>6</v>
      </c>
      <c r="P4" s="2" t="str">
        <f t="shared" si="1"/>
        <v/>
      </c>
    </row>
    <row r="5" spans="1:16" ht="30.75">
      <c r="A5" s="2" t="s">
        <v>58</v>
      </c>
      <c r="B5" s="2" t="s">
        <v>41</v>
      </c>
      <c r="C5" s="3" t="s">
        <v>59</v>
      </c>
      <c r="D5" s="3" t="s">
        <v>60</v>
      </c>
      <c r="E5" s="2" t="s">
        <v>61</v>
      </c>
      <c r="F5" s="2" t="s">
        <v>62</v>
      </c>
      <c r="G5" s="12">
        <v>46266</v>
      </c>
      <c r="H5" s="12">
        <v>46304</v>
      </c>
      <c r="I5" s="13" t="s">
        <v>46</v>
      </c>
      <c r="J5" s="13" t="s">
        <v>46</v>
      </c>
      <c r="K5" s="13" t="s">
        <v>56</v>
      </c>
      <c r="L5" s="13" t="s">
        <v>48</v>
      </c>
      <c r="M5" s="3" t="s">
        <v>63</v>
      </c>
      <c r="N5" s="10">
        <v>46287</v>
      </c>
      <c r="O5" s="11">
        <f t="shared" si="0"/>
        <v>27</v>
      </c>
      <c r="P5" s="2" t="str">
        <f t="shared" si="1"/>
        <v>Overdue &amp; stale</v>
      </c>
    </row>
    <row r="6" spans="1:16" ht="30">
      <c r="A6" s="2" t="s">
        <v>64</v>
      </c>
      <c r="B6" s="2" t="s">
        <v>41</v>
      </c>
      <c r="C6" s="3" t="s">
        <v>65</v>
      </c>
      <c r="D6" s="3" t="s">
        <v>66</v>
      </c>
      <c r="E6" s="2" t="s">
        <v>67</v>
      </c>
      <c r="F6" s="2" t="s">
        <v>68</v>
      </c>
      <c r="G6" s="12">
        <v>46273</v>
      </c>
      <c r="H6" s="12">
        <v>46326</v>
      </c>
      <c r="I6" s="13" t="s">
        <v>55</v>
      </c>
      <c r="J6" s="13" t="s">
        <v>46</v>
      </c>
      <c r="K6" s="13" t="s">
        <v>56</v>
      </c>
      <c r="L6" s="13" t="s">
        <v>48</v>
      </c>
      <c r="M6" s="3" t="s">
        <v>69</v>
      </c>
      <c r="N6" s="10">
        <v>46309</v>
      </c>
      <c r="O6" s="11">
        <f t="shared" si="0"/>
        <v>5</v>
      </c>
      <c r="P6" s="2" t="str">
        <f t="shared" si="1"/>
        <v/>
      </c>
    </row>
    <row r="7" spans="1:16" ht="30">
      <c r="A7" s="2" t="s">
        <v>70</v>
      </c>
      <c r="B7" s="2" t="s">
        <v>41</v>
      </c>
      <c r="C7" s="3" t="s">
        <v>71</v>
      </c>
      <c r="D7" s="3" t="s">
        <v>72</v>
      </c>
      <c r="E7" s="2" t="s">
        <v>73</v>
      </c>
      <c r="F7" s="2" t="s">
        <v>74</v>
      </c>
      <c r="G7" s="12">
        <v>46275</v>
      </c>
      <c r="H7" s="12">
        <v>46297</v>
      </c>
      <c r="I7" s="13" t="s">
        <v>55</v>
      </c>
      <c r="J7" s="13" t="s">
        <v>55</v>
      </c>
      <c r="K7" s="13" t="s">
        <v>56</v>
      </c>
      <c r="L7" s="13" t="s">
        <v>48</v>
      </c>
      <c r="M7" s="3" t="s">
        <v>75</v>
      </c>
      <c r="N7" s="10">
        <v>46283</v>
      </c>
      <c r="O7" s="11">
        <f t="shared" si="0"/>
        <v>31</v>
      </c>
      <c r="P7" s="2" t="str">
        <f t="shared" si="1"/>
        <v>Overdue &amp; stale</v>
      </c>
    </row>
    <row r="8" spans="1:16" ht="45">
      <c r="A8" s="2" t="s">
        <v>76</v>
      </c>
      <c r="B8" s="2" t="s">
        <v>41</v>
      </c>
      <c r="C8" s="3" t="s">
        <v>77</v>
      </c>
      <c r="D8" s="3" t="s">
        <v>78</v>
      </c>
      <c r="E8" s="2" t="s">
        <v>53</v>
      </c>
      <c r="F8" s="2" t="s">
        <v>54</v>
      </c>
      <c r="G8" s="12">
        <v>46300</v>
      </c>
      <c r="H8" s="12">
        <v>46323</v>
      </c>
      <c r="I8" s="13" t="s">
        <v>55</v>
      </c>
      <c r="J8" s="13" t="s">
        <v>46</v>
      </c>
      <c r="K8" s="13" t="s">
        <v>56</v>
      </c>
      <c r="L8" s="13" t="s">
        <v>48</v>
      </c>
      <c r="M8" s="3" t="s">
        <v>79</v>
      </c>
      <c r="N8" s="10">
        <v>46310</v>
      </c>
      <c r="O8" s="11">
        <f t="shared" si="0"/>
        <v>4</v>
      </c>
      <c r="P8" s="2" t="str">
        <f t="shared" si="1"/>
        <v/>
      </c>
    </row>
    <row r="9" spans="1:16" ht="30">
      <c r="A9" s="2" t="s">
        <v>80</v>
      </c>
      <c r="B9" s="2" t="s">
        <v>41</v>
      </c>
      <c r="C9" s="3" t="s">
        <v>81</v>
      </c>
      <c r="D9" s="3" t="s">
        <v>82</v>
      </c>
      <c r="E9" s="2" t="s">
        <v>61</v>
      </c>
      <c r="F9" s="2" t="s">
        <v>62</v>
      </c>
      <c r="G9" s="12">
        <v>46252</v>
      </c>
      <c r="H9" s="12">
        <v>46290</v>
      </c>
      <c r="I9" s="13" t="s">
        <v>55</v>
      </c>
      <c r="J9" s="13" t="s">
        <v>55</v>
      </c>
      <c r="K9" s="13" t="s">
        <v>56</v>
      </c>
      <c r="L9" s="13" t="s">
        <v>48</v>
      </c>
      <c r="M9" s="3" t="s">
        <v>83</v>
      </c>
      <c r="N9" s="10">
        <v>46259</v>
      </c>
      <c r="O9" s="11">
        <f t="shared" si="0"/>
        <v>55</v>
      </c>
      <c r="P9" s="2" t="str">
        <f t="shared" si="1"/>
        <v>Overdue &amp; stale</v>
      </c>
    </row>
    <row r="10" spans="1:16" ht="30">
      <c r="A10" s="2" t="s">
        <v>84</v>
      </c>
      <c r="B10" s="2" t="s">
        <v>41</v>
      </c>
      <c r="C10" s="3" t="s">
        <v>85</v>
      </c>
      <c r="D10" s="3" t="s">
        <v>86</v>
      </c>
      <c r="E10" s="2" t="s">
        <v>87</v>
      </c>
      <c r="F10" s="2" t="s">
        <v>88</v>
      </c>
      <c r="G10" s="12">
        <v>46294</v>
      </c>
      <c r="H10" s="12">
        <v>46339</v>
      </c>
      <c r="I10" s="13" t="s">
        <v>55</v>
      </c>
      <c r="J10" s="13" t="s">
        <v>55</v>
      </c>
      <c r="K10" s="13" t="s">
        <v>89</v>
      </c>
      <c r="L10" s="13" t="s">
        <v>48</v>
      </c>
      <c r="M10" s="3" t="s">
        <v>90</v>
      </c>
      <c r="N10" s="10">
        <v>46307</v>
      </c>
      <c r="O10" s="11">
        <f t="shared" si="0"/>
        <v>7</v>
      </c>
      <c r="P10" s="2" t="str">
        <f t="shared" si="1"/>
        <v/>
      </c>
    </row>
    <row r="11" spans="1:16" ht="45">
      <c r="A11" s="2" t="s">
        <v>91</v>
      </c>
      <c r="B11" s="2" t="s">
        <v>41</v>
      </c>
      <c r="C11" s="3" t="s">
        <v>92</v>
      </c>
      <c r="D11" s="3" t="s">
        <v>93</v>
      </c>
      <c r="E11" s="2" t="s">
        <v>87</v>
      </c>
      <c r="F11" s="2" t="s">
        <v>88</v>
      </c>
      <c r="G11" s="12">
        <v>46301</v>
      </c>
      <c r="H11" s="12">
        <v>46318</v>
      </c>
      <c r="I11" s="13" t="s">
        <v>46</v>
      </c>
      <c r="J11" s="13" t="s">
        <v>46</v>
      </c>
      <c r="K11" s="13" t="s">
        <v>56</v>
      </c>
      <c r="L11" s="13" t="s">
        <v>48</v>
      </c>
      <c r="M11" s="3" t="s">
        <v>94</v>
      </c>
      <c r="N11" s="10">
        <v>46311</v>
      </c>
      <c r="O11" s="11">
        <f t="shared" si="0"/>
        <v>3</v>
      </c>
      <c r="P11" s="2" t="str">
        <f t="shared" si="1"/>
        <v/>
      </c>
    </row>
    <row r="12" spans="1:16" ht="45">
      <c r="A12" s="2" t="s">
        <v>95</v>
      </c>
      <c r="B12" s="2" t="s">
        <v>41</v>
      </c>
      <c r="C12" s="3" t="s">
        <v>96</v>
      </c>
      <c r="D12" s="3" t="s">
        <v>97</v>
      </c>
      <c r="E12" s="2" t="s">
        <v>98</v>
      </c>
      <c r="F12" s="2" t="s">
        <v>99</v>
      </c>
      <c r="G12" s="12">
        <v>46302</v>
      </c>
      <c r="H12" s="12">
        <v>46323</v>
      </c>
      <c r="I12" s="13" t="s">
        <v>55</v>
      </c>
      <c r="J12" s="13" t="s">
        <v>46</v>
      </c>
      <c r="K12" s="13" t="s">
        <v>56</v>
      </c>
      <c r="L12" s="13" t="s">
        <v>48</v>
      </c>
      <c r="M12" s="3" t="s">
        <v>100</v>
      </c>
      <c r="N12" s="10">
        <v>46309</v>
      </c>
      <c r="O12" s="11">
        <f t="shared" si="0"/>
        <v>5</v>
      </c>
      <c r="P12" s="2" t="str">
        <f t="shared" si="1"/>
        <v/>
      </c>
    </row>
    <row r="13" spans="1:16" ht="30.75">
      <c r="A13" s="2" t="s">
        <v>101</v>
      </c>
      <c r="B13" s="2" t="s">
        <v>41</v>
      </c>
      <c r="C13" s="3" t="s">
        <v>102</v>
      </c>
      <c r="D13" s="3" t="s">
        <v>103</v>
      </c>
      <c r="E13" s="2" t="s">
        <v>67</v>
      </c>
      <c r="F13" s="2" t="s">
        <v>68</v>
      </c>
      <c r="G13" s="12">
        <v>46254</v>
      </c>
      <c r="H13" s="12">
        <v>46310</v>
      </c>
      <c r="I13" s="13" t="s">
        <v>55</v>
      </c>
      <c r="J13" s="13" t="s">
        <v>55</v>
      </c>
      <c r="K13" s="13" t="s">
        <v>89</v>
      </c>
      <c r="L13" s="13" t="s">
        <v>48</v>
      </c>
      <c r="M13" s="3" t="s">
        <v>104</v>
      </c>
      <c r="N13" s="10">
        <v>46268</v>
      </c>
      <c r="O13" s="11">
        <f t="shared" si="0"/>
        <v>46</v>
      </c>
      <c r="P13" s="2" t="str">
        <f t="shared" si="1"/>
        <v>Overdue &amp; stale</v>
      </c>
    </row>
    <row r="14" spans="1:16" ht="30">
      <c r="A14" s="2" t="s">
        <v>105</v>
      </c>
      <c r="B14" s="2" t="s">
        <v>41</v>
      </c>
      <c r="C14" s="3" t="s">
        <v>106</v>
      </c>
      <c r="D14" s="3" t="s">
        <v>107</v>
      </c>
      <c r="E14" s="2" t="s">
        <v>98</v>
      </c>
      <c r="F14" s="2" t="s">
        <v>99</v>
      </c>
      <c r="G14" s="12">
        <v>46259</v>
      </c>
      <c r="H14" s="12">
        <v>46283</v>
      </c>
      <c r="I14" s="13" t="s">
        <v>108</v>
      </c>
      <c r="J14" s="13" t="s">
        <v>55</v>
      </c>
      <c r="K14" s="13" t="s">
        <v>89</v>
      </c>
      <c r="L14" s="13" t="s">
        <v>109</v>
      </c>
      <c r="M14" s="3" t="s">
        <v>110</v>
      </c>
      <c r="N14" s="10">
        <v>46283</v>
      </c>
      <c r="O14" s="11" t="str">
        <f t="shared" si="0"/>
        <v/>
      </c>
      <c r="P14" s="2" t="str">
        <f t="shared" si="1"/>
        <v/>
      </c>
    </row>
    <row r="15" spans="1:16" ht="30">
      <c r="A15" s="2" t="s">
        <v>111</v>
      </c>
      <c r="B15" s="2" t="s">
        <v>41</v>
      </c>
      <c r="C15" s="3" t="s">
        <v>112</v>
      </c>
      <c r="D15" s="3" t="s">
        <v>113</v>
      </c>
      <c r="E15" s="2" t="s">
        <v>53</v>
      </c>
      <c r="F15" s="2" t="s">
        <v>54</v>
      </c>
      <c r="G15" s="12">
        <v>46307</v>
      </c>
      <c r="H15" s="12">
        <v>46353</v>
      </c>
      <c r="I15" s="13" t="s">
        <v>55</v>
      </c>
      <c r="J15" s="13" t="s">
        <v>55</v>
      </c>
      <c r="K15" s="13" t="s">
        <v>56</v>
      </c>
      <c r="L15" s="13" t="s">
        <v>48</v>
      </c>
      <c r="M15" s="3" t="s">
        <v>114</v>
      </c>
      <c r="N15" s="10">
        <v>46307</v>
      </c>
      <c r="O15" s="11">
        <f t="shared" si="0"/>
        <v>7</v>
      </c>
      <c r="P15" s="2" t="str">
        <f t="shared" si="1"/>
        <v/>
      </c>
    </row>
    <row r="16" spans="1:16" ht="30.75">
      <c r="A16" s="2" t="s">
        <v>115</v>
      </c>
      <c r="B16" s="2" t="s">
        <v>41</v>
      </c>
      <c r="C16" s="3" t="s">
        <v>116</v>
      </c>
      <c r="D16" s="3" t="s">
        <v>117</v>
      </c>
      <c r="E16" s="2" t="s">
        <v>61</v>
      </c>
      <c r="F16" s="2" t="s">
        <v>62</v>
      </c>
      <c r="G16" s="12">
        <v>46267</v>
      </c>
      <c r="H16" s="12">
        <v>46356</v>
      </c>
      <c r="I16" s="13" t="s">
        <v>108</v>
      </c>
      <c r="J16" s="13" t="s">
        <v>46</v>
      </c>
      <c r="K16" s="13" t="s">
        <v>89</v>
      </c>
      <c r="L16" s="13" t="s">
        <v>48</v>
      </c>
      <c r="M16" s="3" t="s">
        <v>118</v>
      </c>
      <c r="N16" s="10">
        <v>46294</v>
      </c>
      <c r="O16" s="11">
        <f t="shared" si="0"/>
        <v>20</v>
      </c>
      <c r="P16" s="2" t="str">
        <f t="shared" si="1"/>
        <v/>
      </c>
    </row>
    <row r="17" spans="1:16" ht="30.75">
      <c r="A17" s="2" t="s">
        <v>119</v>
      </c>
      <c r="B17" s="2" t="s">
        <v>120</v>
      </c>
      <c r="C17" s="3" t="s">
        <v>121</v>
      </c>
      <c r="D17" s="3" t="s">
        <v>122</v>
      </c>
      <c r="E17" s="2" t="s">
        <v>53</v>
      </c>
      <c r="F17" s="2" t="s">
        <v>54</v>
      </c>
      <c r="G17" s="12">
        <v>46183</v>
      </c>
      <c r="H17" s="12">
        <v>46353</v>
      </c>
      <c r="I17" s="13" t="s">
        <v>55</v>
      </c>
      <c r="J17" s="13" t="s">
        <v>46</v>
      </c>
      <c r="K17" s="13" t="s">
        <v>89</v>
      </c>
      <c r="L17" s="13" t="s">
        <v>48</v>
      </c>
      <c r="M17" s="3" t="s">
        <v>123</v>
      </c>
      <c r="N17" s="10">
        <v>46296</v>
      </c>
      <c r="O17" s="11">
        <f t="shared" si="0"/>
        <v>18</v>
      </c>
      <c r="P17" s="2" t="str">
        <f t="shared" si="1"/>
        <v/>
      </c>
    </row>
    <row r="18" spans="1:16" ht="30">
      <c r="A18" s="2" t="s">
        <v>124</v>
      </c>
      <c r="B18" s="2" t="s">
        <v>120</v>
      </c>
      <c r="C18" s="3" t="s">
        <v>125</v>
      </c>
      <c r="D18" s="3" t="s">
        <v>126</v>
      </c>
      <c r="E18" s="2" t="s">
        <v>44</v>
      </c>
      <c r="F18" s="2" t="s">
        <v>45</v>
      </c>
      <c r="G18" s="12">
        <v>46295</v>
      </c>
      <c r="H18" s="12">
        <v>46318</v>
      </c>
      <c r="I18" s="13" t="s">
        <v>46</v>
      </c>
      <c r="J18" s="13" t="s">
        <v>46</v>
      </c>
      <c r="K18" s="13" t="s">
        <v>56</v>
      </c>
      <c r="L18" s="13" t="s">
        <v>48</v>
      </c>
      <c r="M18" s="3" t="s">
        <v>127</v>
      </c>
      <c r="N18" s="10">
        <v>46311</v>
      </c>
      <c r="O18" s="11">
        <f t="shared" si="0"/>
        <v>3</v>
      </c>
      <c r="P18" s="2" t="str">
        <f t="shared" si="1"/>
        <v/>
      </c>
    </row>
    <row r="19" spans="1:16" ht="30">
      <c r="A19" s="2" t="s">
        <v>128</v>
      </c>
      <c r="B19" s="2" t="s">
        <v>120</v>
      </c>
      <c r="C19" s="3" t="s">
        <v>129</v>
      </c>
      <c r="D19" s="3" t="s">
        <v>130</v>
      </c>
      <c r="E19" s="2" t="s">
        <v>73</v>
      </c>
      <c r="F19" s="2" t="s">
        <v>74</v>
      </c>
      <c r="G19" s="12">
        <v>46302</v>
      </c>
      <c r="H19" s="12">
        <v>46323</v>
      </c>
      <c r="I19" s="13" t="s">
        <v>55</v>
      </c>
      <c r="J19" s="13" t="s">
        <v>46</v>
      </c>
      <c r="K19" s="13" t="s">
        <v>56</v>
      </c>
      <c r="L19" s="13" t="s">
        <v>48</v>
      </c>
      <c r="M19" s="3" t="s">
        <v>131</v>
      </c>
      <c r="N19" s="10">
        <v>46302</v>
      </c>
      <c r="O19" s="11">
        <f t="shared" si="0"/>
        <v>12</v>
      </c>
      <c r="P19" s="2" t="str">
        <f t="shared" si="1"/>
        <v/>
      </c>
    </row>
    <row r="20" spans="1:16" ht="30">
      <c r="A20" s="2" t="s">
        <v>132</v>
      </c>
      <c r="B20" s="2" t="s">
        <v>120</v>
      </c>
      <c r="C20" s="3" t="s">
        <v>133</v>
      </c>
      <c r="D20" s="3" t="s">
        <v>134</v>
      </c>
      <c r="E20" s="2" t="s">
        <v>61</v>
      </c>
      <c r="F20" s="2" t="s">
        <v>62</v>
      </c>
      <c r="G20" s="12">
        <v>46218</v>
      </c>
      <c r="H20" s="12">
        <v>46269</v>
      </c>
      <c r="I20" s="13" t="s">
        <v>108</v>
      </c>
      <c r="J20" s="13" t="s">
        <v>55</v>
      </c>
      <c r="K20" s="13" t="s">
        <v>89</v>
      </c>
      <c r="L20" s="13" t="s">
        <v>109</v>
      </c>
      <c r="M20" s="3" t="s">
        <v>135</v>
      </c>
      <c r="N20" s="10">
        <v>46269</v>
      </c>
      <c r="O20" s="11" t="str">
        <f t="shared" si="0"/>
        <v/>
      </c>
      <c r="P20" s="2" t="str">
        <f t="shared" si="1"/>
        <v/>
      </c>
    </row>
    <row r="21" spans="1:16" ht="30">
      <c r="A21" s="2" t="s">
        <v>136</v>
      </c>
      <c r="B21" s="2" t="s">
        <v>120</v>
      </c>
      <c r="C21" s="3" t="s">
        <v>137</v>
      </c>
      <c r="D21" s="3" t="s">
        <v>138</v>
      </c>
      <c r="E21" s="2" t="s">
        <v>87</v>
      </c>
      <c r="F21" s="2" t="s">
        <v>88</v>
      </c>
      <c r="G21" s="12">
        <v>46266</v>
      </c>
      <c r="H21" s="12">
        <v>46295</v>
      </c>
      <c r="I21" s="13" t="s">
        <v>55</v>
      </c>
      <c r="J21" s="13" t="s">
        <v>55</v>
      </c>
      <c r="K21" s="13" t="s">
        <v>89</v>
      </c>
      <c r="L21" s="13" t="s">
        <v>48</v>
      </c>
      <c r="M21" s="3" t="s">
        <v>139</v>
      </c>
      <c r="N21" s="10">
        <v>46275</v>
      </c>
      <c r="O21" s="11">
        <f t="shared" si="0"/>
        <v>39</v>
      </c>
      <c r="P21" s="2" t="str">
        <f t="shared" si="1"/>
        <v>Overdue &amp; stale</v>
      </c>
    </row>
    <row r="22" spans="1:16" ht="30.75">
      <c r="A22" s="2" t="s">
        <v>140</v>
      </c>
      <c r="B22" s="2" t="s">
        <v>120</v>
      </c>
      <c r="C22" s="3" t="s">
        <v>141</v>
      </c>
      <c r="D22" s="3" t="s">
        <v>142</v>
      </c>
      <c r="E22" s="2" t="s">
        <v>44</v>
      </c>
      <c r="F22" s="2" t="s">
        <v>45</v>
      </c>
      <c r="G22" s="12">
        <v>46254</v>
      </c>
      <c r="H22" s="12">
        <v>46283</v>
      </c>
      <c r="I22" s="13" t="s">
        <v>55</v>
      </c>
      <c r="J22" s="13" t="s">
        <v>46</v>
      </c>
      <c r="K22" s="13" t="s">
        <v>56</v>
      </c>
      <c r="L22" s="13" t="s">
        <v>48</v>
      </c>
      <c r="M22" s="3" t="s">
        <v>143</v>
      </c>
      <c r="N22" s="10">
        <v>46287</v>
      </c>
      <c r="O22" s="11">
        <f t="shared" si="0"/>
        <v>27</v>
      </c>
      <c r="P22" s="2" t="str">
        <f t="shared" si="1"/>
        <v>Overdue &amp; stale</v>
      </c>
    </row>
    <row r="23" spans="1:16" ht="30.75">
      <c r="A23" s="2" t="s">
        <v>144</v>
      </c>
      <c r="B23" s="2" t="s">
        <v>120</v>
      </c>
      <c r="C23" s="3" t="s">
        <v>145</v>
      </c>
      <c r="D23" s="3" t="s">
        <v>146</v>
      </c>
      <c r="E23" s="2" t="s">
        <v>53</v>
      </c>
      <c r="F23" s="2" t="s">
        <v>54</v>
      </c>
      <c r="G23" s="12">
        <v>46183</v>
      </c>
      <c r="H23" s="12">
        <v>46444</v>
      </c>
      <c r="I23" s="13" t="s">
        <v>108</v>
      </c>
      <c r="J23" s="13" t="s">
        <v>46</v>
      </c>
      <c r="K23" s="13" t="s">
        <v>89</v>
      </c>
      <c r="L23" s="13" t="s">
        <v>48</v>
      </c>
      <c r="M23" s="3" t="s">
        <v>147</v>
      </c>
      <c r="N23" s="10">
        <v>46269</v>
      </c>
      <c r="O23" s="11">
        <f t="shared" si="0"/>
        <v>45</v>
      </c>
      <c r="P23" s="2" t="str">
        <f t="shared" si="1"/>
        <v>Stale</v>
      </c>
    </row>
    <row r="24" spans="1:16" ht="30">
      <c r="A24" s="2" t="s">
        <v>148</v>
      </c>
      <c r="B24" s="2" t="s">
        <v>149</v>
      </c>
      <c r="C24" s="3" t="s">
        <v>150</v>
      </c>
      <c r="D24" s="3" t="s">
        <v>151</v>
      </c>
      <c r="E24" s="2" t="s">
        <v>44</v>
      </c>
      <c r="F24" s="2" t="s">
        <v>45</v>
      </c>
      <c r="G24" s="12">
        <v>46294</v>
      </c>
      <c r="H24" s="12">
        <v>46318</v>
      </c>
      <c r="I24" s="13" t="s">
        <v>46</v>
      </c>
      <c r="J24" s="13" t="s">
        <v>46</v>
      </c>
      <c r="K24" s="13" t="s">
        <v>47</v>
      </c>
      <c r="L24" s="13" t="s">
        <v>48</v>
      </c>
      <c r="M24" s="3" t="s">
        <v>152</v>
      </c>
      <c r="N24" s="10">
        <v>46311</v>
      </c>
      <c r="O24" s="11">
        <f t="shared" si="0"/>
        <v>3</v>
      </c>
      <c r="P24" s="2" t="str">
        <f t="shared" si="1"/>
        <v/>
      </c>
    </row>
    <row r="25" spans="1:16" ht="30.75">
      <c r="A25" s="2" t="s">
        <v>153</v>
      </c>
      <c r="B25" s="2" t="s">
        <v>149</v>
      </c>
      <c r="C25" s="3" t="s">
        <v>154</v>
      </c>
      <c r="D25" s="3" t="s">
        <v>155</v>
      </c>
      <c r="E25" s="2" t="s">
        <v>61</v>
      </c>
      <c r="F25" s="2" t="s">
        <v>62</v>
      </c>
      <c r="G25" s="12">
        <v>46280</v>
      </c>
      <c r="H25" s="12">
        <v>46309</v>
      </c>
      <c r="I25" s="13" t="s">
        <v>46</v>
      </c>
      <c r="J25" s="13" t="s">
        <v>46</v>
      </c>
      <c r="K25" s="13" t="s">
        <v>56</v>
      </c>
      <c r="L25" s="13" t="s">
        <v>48</v>
      </c>
      <c r="M25" s="3" t="s">
        <v>156</v>
      </c>
      <c r="N25" s="10">
        <v>46309</v>
      </c>
      <c r="O25" s="11">
        <f t="shared" si="0"/>
        <v>5</v>
      </c>
      <c r="P25" s="2" t="str">
        <f t="shared" si="1"/>
        <v>Overdue</v>
      </c>
    </row>
    <row r="26" spans="1:16" ht="30">
      <c r="A26" s="2" t="s">
        <v>157</v>
      </c>
      <c r="B26" s="2" t="s">
        <v>149</v>
      </c>
      <c r="C26" s="3" t="s">
        <v>158</v>
      </c>
      <c r="D26" s="3" t="s">
        <v>159</v>
      </c>
      <c r="E26" s="2" t="s">
        <v>67</v>
      </c>
      <c r="F26" s="2" t="s">
        <v>68</v>
      </c>
      <c r="G26" s="12">
        <v>46287</v>
      </c>
      <c r="H26" s="12">
        <v>46325</v>
      </c>
      <c r="I26" s="13" t="s">
        <v>55</v>
      </c>
      <c r="J26" s="13" t="s">
        <v>46</v>
      </c>
      <c r="K26" s="13" t="s">
        <v>56</v>
      </c>
      <c r="L26" s="13" t="s">
        <v>48</v>
      </c>
      <c r="M26" s="3" t="s">
        <v>160</v>
      </c>
      <c r="N26" s="10">
        <v>46310</v>
      </c>
      <c r="O26" s="11">
        <f t="shared" si="0"/>
        <v>4</v>
      </c>
      <c r="P26" s="2" t="str">
        <f t="shared" si="1"/>
        <v/>
      </c>
    </row>
    <row r="27" spans="1:16">
      <c r="A27" s="2" t="s">
        <v>161</v>
      </c>
      <c r="B27" s="2" t="s">
        <v>149</v>
      </c>
      <c r="C27" s="3" t="s">
        <v>162</v>
      </c>
      <c r="D27" s="3" t="s">
        <v>163</v>
      </c>
      <c r="E27" s="2" t="s">
        <v>53</v>
      </c>
      <c r="F27" s="2" t="s">
        <v>54</v>
      </c>
      <c r="G27" s="12">
        <v>46301</v>
      </c>
      <c r="H27" s="12">
        <v>46323</v>
      </c>
      <c r="I27" s="13" t="s">
        <v>55</v>
      </c>
      <c r="J27" s="13" t="s">
        <v>46</v>
      </c>
      <c r="K27" s="13" t="s">
        <v>56</v>
      </c>
      <c r="L27" s="13" t="s">
        <v>48</v>
      </c>
      <c r="M27" s="3" t="s">
        <v>164</v>
      </c>
      <c r="N27" s="10">
        <v>46310</v>
      </c>
      <c r="O27" s="11">
        <f t="shared" si="0"/>
        <v>4</v>
      </c>
      <c r="P27" s="2" t="str">
        <f t="shared" si="1"/>
        <v/>
      </c>
    </row>
    <row r="28" spans="1:16" ht="30">
      <c r="A28" s="2" t="s">
        <v>165</v>
      </c>
      <c r="B28" s="2" t="s">
        <v>149</v>
      </c>
      <c r="C28" s="3" t="s">
        <v>166</v>
      </c>
      <c r="D28" s="3" t="s">
        <v>167</v>
      </c>
      <c r="E28" s="2" t="s">
        <v>73</v>
      </c>
      <c r="F28" s="2" t="s">
        <v>74</v>
      </c>
      <c r="G28" s="12">
        <v>46282</v>
      </c>
      <c r="H28" s="12">
        <v>46304</v>
      </c>
      <c r="I28" s="13" t="s">
        <v>55</v>
      </c>
      <c r="J28" s="13" t="s">
        <v>46</v>
      </c>
      <c r="K28" s="13" t="s">
        <v>56</v>
      </c>
      <c r="L28" s="13" t="s">
        <v>48</v>
      </c>
      <c r="M28" s="3" t="s">
        <v>168</v>
      </c>
      <c r="N28" s="10">
        <v>46289</v>
      </c>
      <c r="O28" s="11">
        <f t="shared" si="0"/>
        <v>25</v>
      </c>
      <c r="P28" s="2" t="str">
        <f t="shared" si="1"/>
        <v>Overdue &amp; stale</v>
      </c>
    </row>
    <row r="29" spans="1:16" ht="30">
      <c r="A29" s="2" t="s">
        <v>169</v>
      </c>
      <c r="B29" s="2" t="s">
        <v>149</v>
      </c>
      <c r="C29" s="3" t="s">
        <v>170</v>
      </c>
      <c r="D29" s="3" t="s">
        <v>171</v>
      </c>
      <c r="E29" s="2" t="s">
        <v>53</v>
      </c>
      <c r="F29" s="2" t="s">
        <v>54</v>
      </c>
      <c r="G29" s="12">
        <v>46308</v>
      </c>
      <c r="H29" s="12">
        <v>46318</v>
      </c>
      <c r="I29" s="13" t="s">
        <v>55</v>
      </c>
      <c r="J29" s="13" t="s">
        <v>55</v>
      </c>
      <c r="K29" s="13" t="s">
        <v>56</v>
      </c>
      <c r="L29" s="13" t="s">
        <v>48</v>
      </c>
      <c r="M29" s="3" t="s">
        <v>172</v>
      </c>
      <c r="N29" s="10">
        <v>46311</v>
      </c>
      <c r="O29" s="11">
        <f t="shared" si="0"/>
        <v>3</v>
      </c>
      <c r="P29" s="2" t="str">
        <f t="shared" si="1"/>
        <v/>
      </c>
    </row>
    <row r="30" spans="1:16" ht="30">
      <c r="A30" s="2" t="s">
        <v>173</v>
      </c>
      <c r="B30" s="2" t="s">
        <v>149</v>
      </c>
      <c r="C30" s="3" t="s">
        <v>174</v>
      </c>
      <c r="D30" s="3" t="s">
        <v>175</v>
      </c>
      <c r="E30" s="2" t="s">
        <v>44</v>
      </c>
      <c r="F30" s="2" t="s">
        <v>45</v>
      </c>
      <c r="G30" s="12">
        <v>46286</v>
      </c>
      <c r="H30" s="12">
        <v>46290</v>
      </c>
      <c r="I30" s="13" t="s">
        <v>108</v>
      </c>
      <c r="J30" s="13" t="s">
        <v>55</v>
      </c>
      <c r="K30" s="13" t="s">
        <v>89</v>
      </c>
      <c r="L30" s="13" t="s">
        <v>109</v>
      </c>
      <c r="M30" s="3" t="s">
        <v>176</v>
      </c>
      <c r="N30" s="10">
        <v>46290</v>
      </c>
      <c r="O30" s="11" t="str">
        <f t="shared" si="0"/>
        <v/>
      </c>
      <c r="P30" s="2" t="str">
        <f t="shared" si="1"/>
        <v/>
      </c>
    </row>
    <row r="31" spans="1:16" ht="30.75">
      <c r="A31" s="2" t="s">
        <v>177</v>
      </c>
      <c r="B31" s="2" t="s">
        <v>149</v>
      </c>
      <c r="C31" s="3" t="s">
        <v>178</v>
      </c>
      <c r="D31" s="3" t="s">
        <v>179</v>
      </c>
      <c r="E31" s="2" t="s">
        <v>61</v>
      </c>
      <c r="F31" s="2" t="s">
        <v>62</v>
      </c>
      <c r="G31" s="12">
        <v>46266</v>
      </c>
      <c r="H31" s="12">
        <v>46290</v>
      </c>
      <c r="I31" s="13" t="s">
        <v>55</v>
      </c>
      <c r="J31" s="13" t="s">
        <v>55</v>
      </c>
      <c r="K31" s="13" t="s">
        <v>56</v>
      </c>
      <c r="L31" s="13" t="s">
        <v>48</v>
      </c>
      <c r="M31" s="3" t="s">
        <v>180</v>
      </c>
      <c r="N31" s="10">
        <v>46276</v>
      </c>
      <c r="O31" s="11">
        <f t="shared" si="0"/>
        <v>38</v>
      </c>
      <c r="P31" s="2" t="str">
        <f t="shared" si="1"/>
        <v>Overdue &amp; stale</v>
      </c>
    </row>
    <row r="32" spans="1:16" ht="30">
      <c r="A32" s="2" t="s">
        <v>181</v>
      </c>
      <c r="B32" s="2" t="s">
        <v>149</v>
      </c>
      <c r="C32" s="3" t="s">
        <v>182</v>
      </c>
      <c r="D32" s="3" t="s">
        <v>183</v>
      </c>
      <c r="E32" s="2" t="s">
        <v>87</v>
      </c>
      <c r="F32" s="2" t="s">
        <v>88</v>
      </c>
      <c r="G32" s="12">
        <v>46303</v>
      </c>
      <c r="H32" s="12">
        <v>46325</v>
      </c>
      <c r="I32" s="13" t="s">
        <v>55</v>
      </c>
      <c r="J32" s="13" t="s">
        <v>46</v>
      </c>
      <c r="K32" s="13" t="s">
        <v>56</v>
      </c>
      <c r="L32" s="13" t="s">
        <v>48</v>
      </c>
      <c r="M32" s="3" t="s">
        <v>184</v>
      </c>
      <c r="N32" s="10">
        <v>46310</v>
      </c>
      <c r="O32" s="11">
        <f t="shared" si="0"/>
        <v>4</v>
      </c>
      <c r="P32" s="2" t="str">
        <f t="shared" si="1"/>
        <v/>
      </c>
    </row>
    <row r="33" spans="1:16" ht="30">
      <c r="A33" s="2" t="s">
        <v>185</v>
      </c>
      <c r="B33" s="2" t="s">
        <v>186</v>
      </c>
      <c r="C33" s="3" t="s">
        <v>187</v>
      </c>
      <c r="D33" s="3" t="s">
        <v>188</v>
      </c>
      <c r="E33" s="2" t="s">
        <v>44</v>
      </c>
      <c r="F33" s="2" t="s">
        <v>45</v>
      </c>
      <c r="G33" s="12">
        <v>46280</v>
      </c>
      <c r="H33" s="12">
        <v>46318</v>
      </c>
      <c r="I33" s="13" t="s">
        <v>46</v>
      </c>
      <c r="J33" s="13" t="s">
        <v>46</v>
      </c>
      <c r="K33" s="13" t="s">
        <v>47</v>
      </c>
      <c r="L33" s="13" t="s">
        <v>48</v>
      </c>
      <c r="M33" s="3" t="s">
        <v>189</v>
      </c>
      <c r="N33" s="10">
        <v>46311</v>
      </c>
      <c r="O33" s="11">
        <f t="shared" si="0"/>
        <v>3</v>
      </c>
      <c r="P33" s="2" t="str">
        <f t="shared" si="1"/>
        <v/>
      </c>
    </row>
    <row r="34" spans="1:16">
      <c r="A34" s="2" t="s">
        <v>190</v>
      </c>
      <c r="B34" s="2" t="s">
        <v>186</v>
      </c>
      <c r="C34" s="3" t="s">
        <v>191</v>
      </c>
      <c r="D34" s="3" t="s">
        <v>192</v>
      </c>
      <c r="E34" s="2" t="s">
        <v>61</v>
      </c>
      <c r="F34" s="2" t="s">
        <v>62</v>
      </c>
      <c r="G34" s="12">
        <v>46280</v>
      </c>
      <c r="H34" s="12">
        <v>46309</v>
      </c>
      <c r="I34" s="13" t="s">
        <v>46</v>
      </c>
      <c r="J34" s="13" t="s">
        <v>46</v>
      </c>
      <c r="K34" s="13" t="s">
        <v>56</v>
      </c>
      <c r="L34" s="13" t="s">
        <v>48</v>
      </c>
      <c r="M34" s="3" t="s">
        <v>193</v>
      </c>
      <c r="N34" s="10">
        <v>46285</v>
      </c>
      <c r="O34" s="11">
        <f t="shared" si="0"/>
        <v>29</v>
      </c>
      <c r="P34" s="2" t="str">
        <f t="shared" si="1"/>
        <v>Overdue &amp; stale</v>
      </c>
    </row>
    <row r="35" spans="1:16" ht="30.75">
      <c r="A35" s="2" t="s">
        <v>194</v>
      </c>
      <c r="B35" s="2" t="s">
        <v>186</v>
      </c>
      <c r="C35" s="3" t="s">
        <v>195</v>
      </c>
      <c r="D35" s="3" t="s">
        <v>196</v>
      </c>
      <c r="E35" s="2" t="s">
        <v>73</v>
      </c>
      <c r="F35" s="2" t="s">
        <v>197</v>
      </c>
      <c r="G35" s="12">
        <v>46282</v>
      </c>
      <c r="H35" s="12">
        <v>46332</v>
      </c>
      <c r="I35" s="13" t="s">
        <v>55</v>
      </c>
      <c r="J35" s="13" t="s">
        <v>46</v>
      </c>
      <c r="K35" s="13" t="s">
        <v>56</v>
      </c>
      <c r="L35" s="13" t="s">
        <v>48</v>
      </c>
      <c r="M35" s="3" t="s">
        <v>198</v>
      </c>
      <c r="N35" s="10">
        <v>46282</v>
      </c>
      <c r="O35" s="11">
        <f t="shared" si="0"/>
        <v>32</v>
      </c>
      <c r="P35" s="2" t="str">
        <f t="shared" si="1"/>
        <v>Stale</v>
      </c>
    </row>
    <row r="36" spans="1:16" ht="30">
      <c r="A36" s="2" t="s">
        <v>199</v>
      </c>
      <c r="B36" s="2" t="s">
        <v>186</v>
      </c>
      <c r="C36" s="3" t="s">
        <v>200</v>
      </c>
      <c r="D36" s="3" t="s">
        <v>201</v>
      </c>
      <c r="E36" s="2" t="s">
        <v>61</v>
      </c>
      <c r="F36" s="2" t="s">
        <v>62</v>
      </c>
      <c r="G36" s="12">
        <v>46273</v>
      </c>
      <c r="H36" s="12">
        <v>46339</v>
      </c>
      <c r="I36" s="13" t="s">
        <v>55</v>
      </c>
      <c r="J36" s="13" t="s">
        <v>55</v>
      </c>
      <c r="K36" s="13" t="s">
        <v>56</v>
      </c>
      <c r="L36" s="13" t="s">
        <v>48</v>
      </c>
      <c r="M36" s="3" t="s">
        <v>202</v>
      </c>
      <c r="N36" s="10">
        <v>46303</v>
      </c>
      <c r="O36" s="11">
        <f t="shared" si="0"/>
        <v>11</v>
      </c>
      <c r="P36" s="2" t="str">
        <f t="shared" si="1"/>
        <v/>
      </c>
    </row>
    <row r="37" spans="1:16" ht="30">
      <c r="A37" s="2" t="s">
        <v>203</v>
      </c>
      <c r="B37" s="2" t="s">
        <v>186</v>
      </c>
      <c r="C37" s="3" t="s">
        <v>204</v>
      </c>
      <c r="D37" s="3" t="s">
        <v>205</v>
      </c>
      <c r="E37" s="2" t="s">
        <v>53</v>
      </c>
      <c r="F37" s="2" t="s">
        <v>54</v>
      </c>
      <c r="G37" s="12">
        <v>46296</v>
      </c>
      <c r="H37" s="12">
        <v>46323</v>
      </c>
      <c r="I37" s="13" t="s">
        <v>55</v>
      </c>
      <c r="J37" s="13" t="s">
        <v>46</v>
      </c>
      <c r="K37" s="13" t="s">
        <v>56</v>
      </c>
      <c r="L37" s="13" t="s">
        <v>48</v>
      </c>
      <c r="M37" s="3" t="s">
        <v>206</v>
      </c>
      <c r="N37" s="10">
        <v>46310</v>
      </c>
      <c r="O37" s="11">
        <f t="shared" si="0"/>
        <v>4</v>
      </c>
      <c r="P37" s="2" t="str">
        <f t="shared" si="1"/>
        <v/>
      </c>
    </row>
    <row r="38" spans="1:16" ht="30.75">
      <c r="A38" s="2" t="s">
        <v>207</v>
      </c>
      <c r="B38" s="2" t="s">
        <v>186</v>
      </c>
      <c r="C38" s="3" t="s">
        <v>208</v>
      </c>
      <c r="D38" s="3" t="s">
        <v>209</v>
      </c>
      <c r="E38" s="2" t="s">
        <v>87</v>
      </c>
      <c r="F38" s="2" t="s">
        <v>88</v>
      </c>
      <c r="G38" s="12">
        <v>46266</v>
      </c>
      <c r="H38" s="12">
        <v>46295</v>
      </c>
      <c r="I38" s="13" t="s">
        <v>108</v>
      </c>
      <c r="J38" s="13" t="s">
        <v>55</v>
      </c>
      <c r="K38" s="13" t="s">
        <v>89</v>
      </c>
      <c r="L38" s="13" t="s">
        <v>109</v>
      </c>
      <c r="M38" s="3" t="s">
        <v>210</v>
      </c>
      <c r="N38" s="10">
        <v>46294</v>
      </c>
      <c r="O38" s="11" t="str">
        <f t="shared" si="0"/>
        <v/>
      </c>
      <c r="P38" s="2" t="str">
        <f t="shared" si="1"/>
        <v/>
      </c>
    </row>
  </sheetData>
  <mergeCells count="1">
    <mergeCell ref="A1:P1"/>
  </mergeCells>
  <conditionalFormatting sqref="K3:K38">
    <cfRule type="containsText" dxfId="22" priority="1" operator="containsText" text="RED">
      <formula>NOT(ISERROR(SEARCH("RED",K3)))</formula>
    </cfRule>
    <cfRule type="containsText" dxfId="21" priority="2" operator="containsText" text="AMBER">
      <formula>NOT(ISERROR(SEARCH("AMBER",K3)))</formula>
    </cfRule>
    <cfRule type="containsText" dxfId="20" priority="3" operator="containsText" text="GREEN">
      <formula>NOT(ISERROR(SEARCH("GREEN",K3)))</formula>
    </cfRule>
  </conditionalFormatting>
  <conditionalFormatting sqref="P3:P38">
    <cfRule type="containsText" dxfId="19" priority="4" operator="containsText" text="Overdue">
      <formula>NOT(ISERROR(SEARCH("Overdue",P3)))</formula>
    </cfRule>
    <cfRule type="containsText" dxfId="18" priority="5" operator="containsText" text="Stale">
      <formula>NOT(ISERROR(SEARCH("Stale",P3)))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AEDF-A69C-45C9-A2B5-D28460F531DF}">
  <dimension ref="A1:H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4.7109375" customWidth="1"/>
    <col min="2" max="8" width="14.7109375" customWidth="1"/>
  </cols>
  <sheetData>
    <row r="1" spans="1:8" ht="18.75">
      <c r="A1" s="25" t="s">
        <v>211</v>
      </c>
      <c r="B1" s="25"/>
      <c r="C1" s="25"/>
      <c r="D1" s="25"/>
      <c r="E1" s="25"/>
      <c r="F1" s="25"/>
      <c r="G1" s="25"/>
      <c r="H1" s="25"/>
    </row>
    <row r="2" spans="1:8" ht="30">
      <c r="A2" s="14" t="s">
        <v>25</v>
      </c>
      <c r="B2" s="14" t="s">
        <v>212</v>
      </c>
      <c r="C2" s="14" t="s">
        <v>48</v>
      </c>
      <c r="D2" s="14" t="s">
        <v>213</v>
      </c>
      <c r="E2" s="14" t="s">
        <v>214</v>
      </c>
      <c r="F2" s="14" t="s">
        <v>215</v>
      </c>
      <c r="G2" s="14" t="s">
        <v>216</v>
      </c>
      <c r="H2" s="14" t="s">
        <v>217</v>
      </c>
    </row>
    <row r="3" spans="1:8">
      <c r="A3" s="1" t="s">
        <v>41</v>
      </c>
      <c r="B3" s="16">
        <f>COUNTIFS('RAID Log'!$B$3:$B$38,A3)</f>
        <v>14</v>
      </c>
      <c r="C3" s="16">
        <f>COUNTIFS('RAID Log'!$B$3:$B$38,A3,'RAID Log'!$L$3:$L$38,"Open")</f>
        <v>13</v>
      </c>
      <c r="D3" s="16">
        <f>COUNTIFS('RAID Log'!$B$3:$B$38,$A3,'RAID Log'!$L$3:$L$38,"Open",'RAID Log'!$K$3:$K$38,"RED")</f>
        <v>1</v>
      </c>
      <c r="E3" s="16">
        <f>COUNTIFS('RAID Log'!$B$3:$B$38,$A3,'RAID Log'!$L$3:$L$38,"Open",'RAID Log'!$K$3:$K$38,"AMBER")</f>
        <v>9</v>
      </c>
      <c r="F3" s="16">
        <f>COUNTIFS('RAID Log'!$B$3:$B$38,$A3,'RAID Log'!$L$3:$L$38,"Open",'RAID Log'!$K$3:$K$38,"GREEN")</f>
        <v>3</v>
      </c>
      <c r="G3" s="16">
        <f>COUNTIFS('RAID Log'!$B$3:$B$38,A3,'RAID Log'!$P$3:$P$38,"Overdue*")</f>
        <v>4</v>
      </c>
      <c r="H3" s="16">
        <f>COUNTIFS('RAID Log'!$B$3:$B$38,A3,'RAID Log'!$P$3:$P$38,"*stale*")</f>
        <v>4</v>
      </c>
    </row>
    <row r="4" spans="1:8">
      <c r="A4" s="15" t="s">
        <v>120</v>
      </c>
      <c r="B4" s="17">
        <f>COUNTIFS('RAID Log'!$B$3:$B$38,A4)</f>
        <v>7</v>
      </c>
      <c r="C4" s="17">
        <f>COUNTIFS('RAID Log'!$B$3:$B$38,A4,'RAID Log'!$L$3:$L$38,"Open")</f>
        <v>6</v>
      </c>
      <c r="D4" s="17">
        <f>COUNTIFS('RAID Log'!$B$3:$B$38,$A4,'RAID Log'!$L$3:$L$38,"Open",'RAID Log'!$K$3:$K$38,"RED")</f>
        <v>0</v>
      </c>
      <c r="E4" s="17">
        <f>COUNTIFS('RAID Log'!$B$3:$B$38,$A4,'RAID Log'!$L$3:$L$38,"Open",'RAID Log'!$K$3:$K$38,"AMBER")</f>
        <v>3</v>
      </c>
      <c r="F4" s="17">
        <f>COUNTIFS('RAID Log'!$B$3:$B$38,$A4,'RAID Log'!$L$3:$L$38,"Open",'RAID Log'!$K$3:$K$38,"GREEN")</f>
        <v>3</v>
      </c>
      <c r="G4" s="17">
        <f>COUNTIFS('RAID Log'!$B$3:$B$38,A4,'RAID Log'!$P$3:$P$38,"Overdue*")</f>
        <v>2</v>
      </c>
      <c r="H4" s="17">
        <f>COUNTIFS('RAID Log'!$B$3:$B$38,A4,'RAID Log'!$P$3:$P$38,"*stale*")</f>
        <v>3</v>
      </c>
    </row>
    <row r="5" spans="1:8">
      <c r="A5" s="1" t="s">
        <v>149</v>
      </c>
      <c r="B5" s="16">
        <f>COUNTIFS('RAID Log'!$B$3:$B$38,A5)</f>
        <v>9</v>
      </c>
      <c r="C5" s="16">
        <f>COUNTIFS('RAID Log'!$B$3:$B$38,A5,'RAID Log'!$L$3:$L$38,"Open")</f>
        <v>8</v>
      </c>
      <c r="D5" s="16">
        <f>COUNTIFS('RAID Log'!$B$3:$B$38,$A5,'RAID Log'!$L$3:$L$38,"Open",'RAID Log'!$K$3:$K$38,"RED")</f>
        <v>1</v>
      </c>
      <c r="E5" s="16">
        <f>COUNTIFS('RAID Log'!$B$3:$B$38,$A5,'RAID Log'!$L$3:$L$38,"Open",'RAID Log'!$K$3:$K$38,"AMBER")</f>
        <v>7</v>
      </c>
      <c r="F5" s="16">
        <f>COUNTIFS('RAID Log'!$B$3:$B$38,$A5,'RAID Log'!$L$3:$L$38,"Open",'RAID Log'!$K$3:$K$38,"GREEN")</f>
        <v>0</v>
      </c>
      <c r="G5" s="16">
        <f>COUNTIFS('RAID Log'!$B$3:$B$38,A5,'RAID Log'!$P$3:$P$38,"Overdue*")</f>
        <v>3</v>
      </c>
      <c r="H5" s="16">
        <f>COUNTIFS('RAID Log'!$B$3:$B$38,A5,'RAID Log'!$P$3:$P$38,"*stale*")</f>
        <v>2</v>
      </c>
    </row>
    <row r="6" spans="1:8">
      <c r="A6" s="15" t="s">
        <v>186</v>
      </c>
      <c r="B6" s="17">
        <f>COUNTIFS('RAID Log'!$B$3:$B$38,A6)</f>
        <v>6</v>
      </c>
      <c r="C6" s="17">
        <f>COUNTIFS('RAID Log'!$B$3:$B$38,A6,'RAID Log'!$L$3:$L$38,"Open")</f>
        <v>5</v>
      </c>
      <c r="D6" s="17">
        <f>COUNTIFS('RAID Log'!$B$3:$B$38,$A6,'RAID Log'!$L$3:$L$38,"Open",'RAID Log'!$K$3:$K$38,"RED")</f>
        <v>1</v>
      </c>
      <c r="E6" s="17">
        <f>COUNTIFS('RAID Log'!$B$3:$B$38,$A6,'RAID Log'!$L$3:$L$38,"Open",'RAID Log'!$K$3:$K$38,"AMBER")</f>
        <v>4</v>
      </c>
      <c r="F6" s="17">
        <f>COUNTIFS('RAID Log'!$B$3:$B$38,$A6,'RAID Log'!$L$3:$L$38,"Open",'RAID Log'!$K$3:$K$38,"GREEN")</f>
        <v>0</v>
      </c>
      <c r="G6" s="17">
        <f>COUNTIFS('RAID Log'!$B$3:$B$38,A6,'RAID Log'!$P$3:$P$38,"Overdue*")</f>
        <v>1</v>
      </c>
      <c r="H6" s="17">
        <f>COUNTIFS('RAID Log'!$B$3:$B$38,A6,'RAID Log'!$P$3:$P$38,"*stale*")</f>
        <v>2</v>
      </c>
    </row>
    <row r="7" spans="1:8">
      <c r="A7" s="18" t="s">
        <v>212</v>
      </c>
      <c r="B7" s="19">
        <f t="shared" ref="B7:H7" si="0">SUM(B3:B6)</f>
        <v>36</v>
      </c>
      <c r="C7" s="19">
        <f t="shared" si="0"/>
        <v>32</v>
      </c>
      <c r="D7" s="19">
        <f t="shared" si="0"/>
        <v>3</v>
      </c>
      <c r="E7" s="19">
        <f t="shared" si="0"/>
        <v>23</v>
      </c>
      <c r="F7" s="19">
        <f t="shared" si="0"/>
        <v>6</v>
      </c>
      <c r="G7" s="19">
        <f t="shared" si="0"/>
        <v>10</v>
      </c>
      <c r="H7" s="19">
        <f t="shared" si="0"/>
        <v>11</v>
      </c>
    </row>
    <row r="8" spans="1:8">
      <c r="A8" s="1"/>
      <c r="B8" s="16"/>
      <c r="C8" s="16"/>
      <c r="D8" s="16"/>
      <c r="E8" s="16"/>
      <c r="F8" s="16"/>
      <c r="G8" s="16"/>
      <c r="H8" s="16"/>
    </row>
    <row r="9" spans="1:8">
      <c r="A9" s="20" t="s">
        <v>218</v>
      </c>
      <c r="B9" s="21">
        <f>COUNTA('RAID Log'!$A$3:$A$38)</f>
        <v>36</v>
      </c>
      <c r="C9" s="16"/>
      <c r="D9" s="16"/>
      <c r="E9" s="16"/>
      <c r="F9" s="16"/>
      <c r="G9" s="16"/>
      <c r="H9" s="16"/>
    </row>
  </sheetData>
  <mergeCells count="1">
    <mergeCell ref="A1:H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i:0#.f|membership|loretteroos@microsoft.com</cp:lastModifiedBy>
  <cp:revision/>
  <dcterms:created xsi:type="dcterms:W3CDTF">2026-10-19T04:55:16Z</dcterms:created>
  <dcterms:modified xsi:type="dcterms:W3CDTF">2026-10-21T09:30:50Z</dcterms:modified>
  <cp:category/>
  <cp:contentStatus/>
</cp:coreProperties>
</file>