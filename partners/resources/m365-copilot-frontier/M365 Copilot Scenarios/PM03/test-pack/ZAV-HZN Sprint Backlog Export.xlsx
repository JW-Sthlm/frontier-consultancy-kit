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306" documentId="11_C233BB32784BDB0F97E819E7E0BCBE8359B1E8BC" xr6:coauthVersionLast="47" xr6:coauthVersionMax="47" xr10:uidLastSave="{F0B0ECE6-7CBB-4A48-A284-56DAEE104F64}"/>
  <bookViews>
    <workbookView xWindow="0" yWindow="0" windowWidth="0" windowHeight="0" xr2:uid="{00000000-000D-0000-FFFF-FFFF00000000}"/>
  </bookViews>
  <sheets>
    <sheet name="Read me" sheetId="1" r:id="rId1"/>
    <sheet name="Backlog" sheetId="2" r:id="rId2"/>
    <sheet name="Sprint summary" sheetId="3" r:id="rId3"/>
  </sheets>
  <definedNames>
    <definedName name="AsOfDate">'Read me'!$B$7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8" i="3"/>
  <c r="L5" i="3"/>
  <c r="K5" i="3"/>
  <c r="H5" i="3"/>
  <c r="G5" i="3"/>
  <c r="F5" i="3"/>
  <c r="I5" i="3" s="1"/>
  <c r="E5" i="3"/>
  <c r="D5" i="3"/>
  <c r="C5" i="3"/>
  <c r="J5" i="3" s="1"/>
  <c r="B5" i="3"/>
  <c r="L4" i="3"/>
  <c r="K4" i="3"/>
  <c r="H4" i="3"/>
  <c r="G4" i="3"/>
  <c r="F4" i="3"/>
  <c r="I4" i="3" s="1"/>
  <c r="E4" i="3"/>
  <c r="D4" i="3"/>
  <c r="C4" i="3"/>
  <c r="J4" i="3" s="1"/>
  <c r="B4" i="3"/>
  <c r="L3" i="3"/>
  <c r="L6" i="3" s="1"/>
  <c r="K3" i="3"/>
  <c r="K6" i="3" s="1"/>
  <c r="H3" i="3"/>
  <c r="H6" i="3" s="1"/>
  <c r="G3" i="3"/>
  <c r="G6" i="3" s="1"/>
  <c r="F3" i="3"/>
  <c r="E3" i="3"/>
  <c r="E6" i="3" s="1"/>
  <c r="D3" i="3"/>
  <c r="D6" i="3" s="1"/>
  <c r="C3" i="3"/>
  <c r="B3" i="3"/>
  <c r="B6" i="3" s="1"/>
  <c r="F6" i="3" l="1"/>
  <c r="I3" i="3"/>
  <c r="I6" i="3" s="1"/>
  <c r="C6" i="3"/>
  <c r="J6" i="3" s="1"/>
  <c r="J3" i="3"/>
</calcChain>
</file>

<file path=xl/sharedStrings.xml><?xml version="1.0" encoding="utf-8"?>
<sst xmlns="http://schemas.openxmlformats.org/spreadsheetml/2006/main" count="687" uniqueCount="195">
  <si>
    <t>ZAV-HZN Sprint Backlog Export</t>
  </si>
  <si>
    <t>Fictitious test data – Copilot for Frontier Consultancy scenario testing</t>
  </si>
  <si>
    <t>Purpose</t>
  </si>
  <si>
    <t>Azure DevOps-style work item export for the Zava Horizon Build phase (Sprints 3–5). Use for testing sprint status summaries, blocker analysis (CargoWise), velocity and burndown questions, and stand-up preparation.</t>
  </si>
  <si>
    <t>Programme</t>
  </si>
  <si>
    <t>Zava Horizon (ZAV-HZN) – Zava LLC, delivered by Frontier Consulting</t>
  </si>
  <si>
    <t>Data as of</t>
  </si>
  <si>
    <t>Monday 19 Oct 2026 (Dubai, UTC+4)</t>
  </si>
  <si>
    <t>As-of date (used in formulas)</t>
  </si>
  <si>
    <t>Currency</t>
  </si>
  <si>
    <t>AED</t>
  </si>
  <si>
    <t>Prepared by</t>
  </si>
  <si>
    <t>Priya Nair, Project Manager (Frontier Consulting) – scenario owner Lorette Roos</t>
  </si>
  <si>
    <t>Sheet</t>
  </si>
  <si>
    <t>Contents</t>
  </si>
  <si>
    <t>Backlog</t>
  </si>
  <si>
    <t>90 work items (Epics, Features, User Stories, Bugs, Tasks) exported from Azure DevOps project ZAV-HZN. Epics and Features sit at release level.</t>
  </si>
  <si>
    <t>Sprint summary</t>
  </si>
  <si>
    <t>Story points and item counts by sprint and state, Sprint 4 completion % and blocked counts (formulas).</t>
  </si>
  <si>
    <t>Sprint calendar</t>
  </si>
  <si>
    <t>Sprint 3: Mon 28 Sep – Fri 9 Oct 2026 | Sprint 4: Mon 12 Oct – Fri 23 Oct 2026 | Sprint 5: Mon 26 Oct – Fri 6 Nov 2026</t>
  </si>
  <si>
    <t>Completion rule</t>
  </si>
  <si>
    <t>Completed = State Resolved or Closed; completion % measured on story points.</t>
  </si>
  <si>
    <t>Important</t>
  </si>
  <si>
    <t>Fictitious test data – Copilot for Frontier Consultancy scenario testing. All companies, people and figures are fictitious and must not be used for real decisions.</t>
  </si>
  <si>
    <t>ZAV-HZN Sprint Backlog Export (Azure DevOps)   |   Fictitious test data – Copilot for Frontier Consultancy scenario testing</t>
  </si>
  <si>
    <t>ID</t>
  </si>
  <si>
    <t>Work item type</t>
  </si>
  <si>
    <t>Title</t>
  </si>
  <si>
    <t>Workstream</t>
  </si>
  <si>
    <t>Assigned to</t>
  </si>
  <si>
    <t>State</t>
  </si>
  <si>
    <t>Sprint</t>
  </si>
  <si>
    <t>Story points</t>
  </si>
  <si>
    <t>Remaining work</t>
  </si>
  <si>
    <t>Tags</t>
  </si>
  <si>
    <t>Changed date</t>
  </si>
  <si>
    <t>Epic</t>
  </si>
  <si>
    <t>Finance core – GL, AP, AR, fixed assets for five legal entities</t>
  </si>
  <si>
    <t>Finance</t>
  </si>
  <si>
    <t>James Okafor</t>
  </si>
  <si>
    <t>Active</t>
  </si>
  <si>
    <t>ZAV-HZN\Release 1</t>
  </si>
  <si>
    <t>fin</t>
  </si>
  <si>
    <t>Warehouse management and transport for Jebel Ali operations</t>
  </si>
  <si>
    <t>Supply Chain/Warehousing</t>
  </si>
  <si>
    <t>Rahul Verma</t>
  </si>
  <si>
    <t>scm</t>
  </si>
  <si>
    <t>Sales and Customer Service on Dynamics 365 CE</t>
  </si>
  <si>
    <t>Sales &amp; Service CE</t>
  </si>
  <si>
    <t>Lina Mansour</t>
  </si>
  <si>
    <t>ce</t>
  </si>
  <si>
    <t>Data migration from Dynamics GP 2018 and Tally</t>
  </si>
  <si>
    <t>Data Migration</t>
  </si>
  <si>
    <t>Noura Al Hashimi</t>
  </si>
  <si>
    <t>dm</t>
  </si>
  <si>
    <t>Integrations – CargoWise, banks, ZATCA, Azure Integration Services</t>
  </si>
  <si>
    <t>Integration</t>
  </si>
  <si>
    <t>Arjun Mehta</t>
  </si>
  <si>
    <t>int</t>
  </si>
  <si>
    <t>M365 Copilot rollout – 600 licences</t>
  </si>
  <si>
    <t>Change &amp; Copilot Adoption</t>
  </si>
  <si>
    <t>Tom Becker</t>
  </si>
  <si>
    <t>chg</t>
  </si>
  <si>
    <t>Feature</t>
  </si>
  <si>
    <t>Intercompany accounting ZVAE/ZVSA/ZVOM/ZVQA/ZVHQ</t>
  </si>
  <si>
    <t>ZATCA e-invoicing for ZVSA</t>
  </si>
  <si>
    <t>Bank statement and payment integration</t>
  </si>
  <si>
    <t>Mobile warehouse app – receiving and putaway</t>
  </si>
  <si>
    <t>Trade agreements and freight rate cards</t>
  </si>
  <si>
    <t>Lead-to-quote for freight forwarding</t>
  </si>
  <si>
    <t>Case management and SLA for customer service</t>
  </si>
  <si>
    <t>Vendor and customer master migration</t>
  </si>
  <si>
    <t>Opening balances and open items</t>
  </si>
  <si>
    <t>New</t>
  </si>
  <si>
    <t>CargoWise shipment and job costing interface</t>
  </si>
  <si>
    <t>Integration monitoring and alerting</t>
  </si>
  <si>
    <t>Copilot readiness – SharePoint oversharing remediation</t>
  </si>
  <si>
    <t>Copilot persona training and champions</t>
  </si>
  <si>
    <t>Financial reporting and Power BI</t>
  </si>
  <si>
    <t>User Story</t>
  </si>
  <si>
    <t>GL chart of accounts and main account structure for ZVAE</t>
  </si>
  <si>
    <t>Closed</t>
  </si>
  <si>
    <t>ZAV-HZN\Sprint 3</t>
  </si>
  <si>
    <t>Financial dimensions: entity, department, cost centre, trade lane</t>
  </si>
  <si>
    <t>AP invoice approval workflow with 3-way match</t>
  </si>
  <si>
    <t>Task</t>
  </si>
  <si>
    <t>Configure number sequences for five legal entities</t>
  </si>
  <si>
    <t>Warehouse locations and zones for Jebel Ali DC</t>
  </si>
  <si>
    <t>Inbound receiving by license plate</t>
  </si>
  <si>
    <t>Bug</t>
  </si>
  <si>
    <t>Location directive picks wrong zone for bonded stock</t>
  </si>
  <si>
    <t>Account and contact model for shippers and consignees</t>
  </si>
  <si>
    <t>Opportunity stages for freight forwarding deals</t>
  </si>
  <si>
    <t>Case categories and queues for three-shift model</t>
  </si>
  <si>
    <t>SLA KPI configuration for first response</t>
  </si>
  <si>
    <t>Resolved</t>
  </si>
  <si>
    <t>Vendor master profiling – GP 2018 and Tally</t>
  </si>
  <si>
    <t>Data migration framework – staging database</t>
  </si>
  <si>
    <t>Customer master mapping template</t>
  </si>
  <si>
    <t>Azure Service Bus topics and subscriptions</t>
  </si>
  <si>
    <t>Key Vault and managed identity setup</t>
  </si>
  <si>
    <t>CargoWise interface design (draft spec)</t>
  </si>
  <si>
    <t>Copilot pilot onboarding – 120 users</t>
  </si>
  <si>
    <t>SharePoint oversharing scan – 60 sites</t>
  </si>
  <si>
    <t>Posting profile error on ZVOM vendor invoices</t>
  </si>
  <si>
    <t>Sprint 3 demo and retrospective</t>
  </si>
  <si>
    <t>Priya Nair</t>
  </si>
  <si>
    <t>Fixed asset groups and depreciation profiles</t>
  </si>
  <si>
    <t>Intercompany journal auto-posting ZVAE to ZVSA</t>
  </si>
  <si>
    <t>ZAV-HZN\Sprint 4</t>
  </si>
  <si>
    <t>fin; intercompany</t>
  </si>
  <si>
    <t>Intercompany due-to/due-from settlement rules</t>
  </si>
  <si>
    <t>AR customer invoicing with freight charge codes</t>
  </si>
  <si>
    <t>Bank reconciliation – UAE statement import</t>
  </si>
  <si>
    <t>fin; banking</t>
  </si>
  <si>
    <t>Exchange rate revaluation posts to wrong account (ZVQA)</t>
  </si>
  <si>
    <t>fin; ZVQA</t>
  </si>
  <si>
    <t>Wave picking for outbound shipments</t>
  </si>
  <si>
    <t>scm; WMS</t>
  </si>
  <si>
    <t>Cycle counting by zone</t>
  </si>
  <si>
    <t>Trade agreement journals for standard freight rates</t>
  </si>
  <si>
    <t>scm; CR-009</t>
  </si>
  <si>
    <t>Quote template with freight rate lines</t>
  </si>
  <si>
    <t>Case routing by entity and language (Arabic/English)</t>
  </si>
  <si>
    <t>SLA escalation to Customer Service Manager</t>
  </si>
  <si>
    <t>Vendor de-duplication rules (14% duplicates)</t>
  </si>
  <si>
    <t>dm; vendor-dedup</t>
  </si>
  <si>
    <t>Customer master trial load 1</t>
  </si>
  <si>
    <t>dm; trial-load</t>
  </si>
  <si>
    <t>Trial load rejects Arabic characters in vendor names</t>
  </si>
  <si>
    <t>Copilot prompt gallery for Finance analyst persona</t>
  </si>
  <si>
    <t>chg; copilot</t>
  </si>
  <si>
    <t>Mobile app receiving on handheld</t>
  </si>
  <si>
    <t>scm; WMS; device-decision</t>
  </si>
  <si>
    <t>Power BI finance dataset – trial balance</t>
  </si>
  <si>
    <t>fin; reporting</t>
  </si>
  <si>
    <t>Case SLA timer pauses incorrectly on weekends</t>
  </si>
  <si>
    <t>Remove EEEU permissions on flagged SharePoint sites</t>
  </si>
  <si>
    <t>chg; copilot; oversharing</t>
  </si>
  <si>
    <t>Copilot champions network setup</t>
  </si>
  <si>
    <t>CargoWise shipment event inbound interface</t>
  </si>
  <si>
    <t>Blocked</t>
  </si>
  <si>
    <t>int; CargoWise; Blocked; vendor-spec</t>
  </si>
  <si>
    <t>CargoWise job costing to F&amp;O project accounting</t>
  </si>
  <si>
    <t>CargoWise AR invoice sync to D365 Finance</t>
  </si>
  <si>
    <t>Customer account sync D365 CE to CargoWise</t>
  </si>
  <si>
    <t>Build CargoWise API mock service</t>
  </si>
  <si>
    <t>int; CargoWise; Blocked</t>
  </si>
  <si>
    <t>CargoWise error handling and retry policy</t>
  </si>
  <si>
    <t>Bank payment file format – KSA</t>
  </si>
  <si>
    <t>Sprint 4 demo preparation</t>
  </si>
  <si>
    <t>ZATCA e-invoicing connector configuration (pending ISV)</t>
  </si>
  <si>
    <t>ZAV-HZN\Sprint 5</t>
  </si>
  <si>
    <t>fin; ZATCA; ZVSA</t>
  </si>
  <si>
    <t>Intercompany auto-settlement for ZVQA (CR-007, pending approval)</t>
  </si>
  <si>
    <t>fin; CR-007; ZVQA</t>
  </si>
  <si>
    <t>Fixed asset migration template</t>
  </si>
  <si>
    <t>Vendor payment proposal and approval</t>
  </si>
  <si>
    <t>Outbound load building and dock appointment</t>
  </si>
  <si>
    <t>Replenishment templates for fast movers</t>
  </si>
  <si>
    <t>Mobile app putaway on handheld</t>
  </si>
  <si>
    <t>Customer portal for shipment tracking (CR-008, pending approval)</t>
  </si>
  <si>
    <t>ce; CR-008</t>
  </si>
  <si>
    <t>Knowledge articles for top 10 case categories</t>
  </si>
  <si>
    <t>Quote approval matrix by margin</t>
  </si>
  <si>
    <t>Vendor master de-duplicated trial load 2</t>
  </si>
  <si>
    <t>dm; vendor-dedup; trial-load</t>
  </si>
  <si>
    <t>Open AP/AR items extraction from GP 2018</t>
  </si>
  <si>
    <t>Tally (KSA) opening balance mapping</t>
  </si>
  <si>
    <t>dm; ZVSA</t>
  </si>
  <si>
    <t>CargoWise file-based fallback interface (contingency)</t>
  </si>
  <si>
    <t>int; CargoWise; fallback</t>
  </si>
  <si>
    <t>Integration monitoring dashboard in Azure Monitor</t>
  </si>
  <si>
    <t>Bank payment file format – Oman</t>
  </si>
  <si>
    <t>Copilot training wave 2 – Customer service agent persona</t>
  </si>
  <si>
    <t>Sensitivity labels for HR-Payroll and Finance-Board sites</t>
  </si>
  <si>
    <t>Duplicate contact created on email-to-case</t>
  </si>
  <si>
    <t>Sprint 5 planning and capacity check</t>
  </si>
  <si>
    <t>ZAV-HZN sprint summary   |   Fictitious test data – Copilot for Frontier Consultancy scenario testing</t>
  </si>
  <si>
    <t>Items</t>
  </si>
  <si>
    <t>Story points (total)</t>
  </si>
  <si>
    <t>Points – New</t>
  </si>
  <si>
    <t>Points – Active</t>
  </si>
  <si>
    <t>Points – Resolved</t>
  </si>
  <si>
    <t>Points – Closed</t>
  </si>
  <si>
    <t>Points – Blocked</t>
  </si>
  <si>
    <t>Points completed</t>
  </si>
  <si>
    <t>Completion %</t>
  </si>
  <si>
    <t>Blocked items</t>
  </si>
  <si>
    <t>Remaining work (h)</t>
  </si>
  <si>
    <t>Total (Sprints 3–5)</t>
  </si>
  <si>
    <t>Sprint 4 blocked items tagged CargoWise</t>
  </si>
  <si>
    <t>Sprint 4 end date</t>
  </si>
  <si>
    <t>Check: items on Backlog (all sprints + release)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</si>
</sst>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dd\ mmm\ yyyy\ hh:mm"/>
    <numFmt numFmtId="166" formatCode="0.0%"/>
  </numFmts>
  <fonts count="9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i/>
      <sz val="11"/>
      <color rgb="FF7A4A00"/>
      <name val="Calibri"/>
    </font>
    <font>
      <b/>
      <sz val="11"/>
      <color rgb="FF1B3A57"/>
      <name val="Calibri"/>
    </font>
    <font>
      <sz val="11"/>
      <color rgb="FF0000FF"/>
      <name val="Calibri"/>
    </font>
    <font>
      <b/>
      <sz val="14"/>
      <color rgb="FF1B3A5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A57"/>
        <bgColor indexed="64"/>
      </patternFill>
    </fill>
    <fill>
      <patternFill patternType="solid">
        <fgColor rgb="FFFDF0DC"/>
        <bgColor indexed="64"/>
      </patternFill>
    </fill>
    <fill>
      <patternFill patternType="solid">
        <fgColor rgb="FFEAF1F6"/>
        <bgColor indexed="64"/>
      </patternFill>
    </fill>
    <fill>
      <patternFill patternType="solid">
        <fgColor rgb="FFF2A9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164" fontId="7" fillId="0" borderId="0" xfId="0" applyNumberFormat="1" applyFont="1" applyAlignment="1">
      <alignment horizontal="left" vertical="top" wrapText="1"/>
    </xf>
    <xf numFmtId="0" fontId="3" fillId="2" borderId="0" xfId="0" applyFont="1" applyFill="1" applyAlignment="1">
      <alignment vertical="center" wrapText="1"/>
    </xf>
    <xf numFmtId="1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3" fillId="2" borderId="0" xfId="0" applyFont="1" applyFill="1" applyAlignment="1">
      <alignment horizontal="center" vertical="center" wrapText="1"/>
    </xf>
    <xf numFmtId="0" fontId="1" fillId="4" borderId="0" xfId="0" applyFont="1" applyFill="1"/>
    <xf numFmtId="3" fontId="1" fillId="0" borderId="0" xfId="0" applyNumberFormat="1" applyFont="1" applyAlignment="1">
      <alignment horizontal="center"/>
    </xf>
    <xf numFmtId="3" fontId="1" fillId="4" borderId="0" xfId="0" applyNumberFormat="1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4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5" borderId="0" xfId="0" applyFont="1" applyFill="1"/>
    <xf numFmtId="3" fontId="2" fillId="5" borderId="0" xfId="0" applyNumberFormat="1" applyFont="1" applyFill="1" applyAlignment="1">
      <alignment horizontal="center"/>
    </xf>
    <xf numFmtId="166" fontId="2" fillId="5" borderId="0" xfId="0" applyNumberFormat="1" applyFont="1" applyFill="1" applyAlignment="1">
      <alignment horizontal="center"/>
    </xf>
    <xf numFmtId="0" fontId="6" fillId="0" borderId="0" xfId="0" applyFont="1"/>
    <xf numFmtId="0" fontId="4" fillId="2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dd\ mmm\ yyyy\ h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B3A57"/>
        </patternFill>
      </fill>
      <alignment horizontal="general" vertical="center" textRotation="0" wrapText="1" indent="0" justifyLastLine="0" shrinkToFit="0" readingOrder="0"/>
    </dxf>
    <dxf>
      <font>
        <b/>
        <i val="0"/>
        <color rgb="FF9C0006"/>
      </font>
      <fill>
        <patternFill patternType="solid">
          <fgColor indexed="64"/>
          <b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 4 at 70% of points done; 18 points blocked by CargoWise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'Sprint summary'!$A$3</c:f>
              <c:strCache>
                <c:ptCount val="1"/>
                <c:pt idx="0">
                  <c:v>ZAV-HZN\Sprint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'Sprint summary'!$B$3:$H$3</c:f>
              <c:numCache>
                <c:formatCode>#,##0</c:formatCode>
                <c:ptCount val="7"/>
                <c:pt idx="0">
                  <c:v>22</c:v>
                </c:pt>
                <c:pt idx="1">
                  <c:v>70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65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3-4F00-B297-C5302A5AD537}"/>
            </c:ext>
          </c:extLst>
        </c:ser>
        <c:ser>
          <c:idx val="1"/>
          <c:order val="1"/>
          <c:tx>
            <c:strRef>
              <c:f>'Sprint summary'!$A$4</c:f>
              <c:strCache>
                <c:ptCount val="1"/>
                <c:pt idx="0">
                  <c:v>ZAV-HZN\Sprint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'Sprint summary'!$B$4:$H$4</c:f>
              <c:numCache>
                <c:formatCode>#,##0</c:formatCode>
                <c:ptCount val="7"/>
                <c:pt idx="0">
                  <c:v>28</c:v>
                </c:pt>
                <c:pt idx="1">
                  <c:v>100</c:v>
                </c:pt>
                <c:pt idx="2">
                  <c:v>6</c:v>
                </c:pt>
                <c:pt idx="3">
                  <c:v>6</c:v>
                </c:pt>
                <c:pt idx="4">
                  <c:v>13</c:v>
                </c:pt>
                <c:pt idx="5">
                  <c:v>57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23-4F00-B297-C5302A5AD537}"/>
            </c:ext>
          </c:extLst>
        </c:ser>
        <c:ser>
          <c:idx val="2"/>
          <c:order val="2"/>
          <c:tx>
            <c:strRef>
              <c:f>'Sprint summary'!$A$5</c:f>
              <c:strCache>
                <c:ptCount val="1"/>
                <c:pt idx="0">
                  <c:v>ZAV-HZN\Sprint 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'Sprint summary'!$B$5:$H$5</c:f>
              <c:numCache>
                <c:formatCode>#,##0</c:formatCode>
                <c:ptCount val="7"/>
                <c:pt idx="0">
                  <c:v>20</c:v>
                </c:pt>
                <c:pt idx="1">
                  <c:v>89</c:v>
                </c:pt>
                <c:pt idx="2">
                  <c:v>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23-4F00-B297-C5302A5AD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926855"/>
        <c:axId val="62928903"/>
      </c:barChart>
      <c:catAx>
        <c:axId val="6292685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8903"/>
        <c:crosses val="autoZero"/>
        <c:auto val="1"/>
        <c:lblAlgn val="ctr"/>
        <c:lblOffset val="100"/>
        <c:noMultiLvlLbl val="0"/>
      </c:catAx>
      <c:valAx>
        <c:axId val="62928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6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FCFF4-3701-9CE6-6E43-529613CDA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66300-931B-4304-B45A-F6EB7CDFAD77}" name="WorkItems" displayName="WorkItems" ref="A2:K92" totalsRowShown="0" headerRowDxfId="12" dataDxfId="11">
  <autoFilter ref="A2:K92" xr:uid="{17766300-931B-4304-B45A-F6EB7CDFAD77}"/>
  <tableColumns count="11">
    <tableColumn id="1" xr3:uid="{C04B4EDE-467E-4248-BEB2-20DBA7381B3C}" name="ID" dataDxfId="10"/>
    <tableColumn id="2" xr3:uid="{8F5A876E-3A09-4280-9CAB-503096D498AC}" name="Work item type" dataDxfId="9"/>
    <tableColumn id="3" xr3:uid="{57874CCE-F4B2-4836-A540-10F7186B9940}" name="Title" dataDxfId="8"/>
    <tableColumn id="4" xr3:uid="{F996E0B1-9358-45FB-B16C-626CFD88FE53}" name="Workstream" dataDxfId="7"/>
    <tableColumn id="5" xr3:uid="{BB027334-56AB-4279-97F2-3F755B8C250D}" name="Assigned to" dataDxfId="6"/>
    <tableColumn id="6" xr3:uid="{5954FA13-65C8-4BD5-A0B7-E5978118F8CA}" name="State" dataDxfId="5"/>
    <tableColumn id="7" xr3:uid="{B1B15737-3753-4C25-B7DA-E8A2B60C096C}" name="Sprint" dataDxfId="4"/>
    <tableColumn id="8" xr3:uid="{F8D2F02F-0E6F-496A-B791-4EC478CDDD38}" name="Story points" dataDxfId="3"/>
    <tableColumn id="9" xr3:uid="{F840E5F8-2514-47C2-8BB8-B97D000CD609}" name="Remaining work" dataDxfId="2"/>
    <tableColumn id="10" xr3:uid="{3A483DEC-BEEE-4087-95AB-611489388CA7}" name="Tags" dataDxfId="1"/>
    <tableColumn id="11" xr3:uid="{266C2E5D-A934-485E-B61D-2D842CDABE41}" name="Changed 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30.7109375" customWidth="1"/>
    <col min="2" max="2" width="110.7109375" customWidth="1"/>
  </cols>
  <sheetData>
    <row r="1" spans="1:2" ht="21">
      <c r="A1" s="25" t="s">
        <v>0</v>
      </c>
      <c r="B1" s="25"/>
    </row>
    <row r="2" spans="1:2">
      <c r="A2" s="26" t="s">
        <v>1</v>
      </c>
      <c r="B2" s="26"/>
    </row>
    <row r="3" spans="1:2">
      <c r="A3" s="3"/>
      <c r="B3" s="3"/>
    </row>
    <row r="4" spans="1:2" ht="30.75">
      <c r="A4" s="4" t="s">
        <v>2</v>
      </c>
      <c r="B4" s="3" t="s">
        <v>3</v>
      </c>
    </row>
    <row r="5" spans="1:2">
      <c r="A5" s="4" t="s">
        <v>4</v>
      </c>
      <c r="B5" s="3" t="s">
        <v>5</v>
      </c>
    </row>
    <row r="6" spans="1:2" ht="76.5">
      <c r="A6" s="4" t="s">
        <v>6</v>
      </c>
      <c r="B6" s="3" t="s">
        <v>7</v>
      </c>
    </row>
    <row r="7" spans="1:2" ht="76.5">
      <c r="A7" s="4" t="s">
        <v>8</v>
      </c>
      <c r="B7" s="8">
        <v>46314</v>
      </c>
    </row>
    <row r="8" spans="1:2">
      <c r="A8" s="4" t="s">
        <v>9</v>
      </c>
      <c r="B8" s="3" t="s">
        <v>10</v>
      </c>
    </row>
    <row r="9" spans="1:2" ht="167.25">
      <c r="A9" s="4" t="s">
        <v>11</v>
      </c>
      <c r="B9" s="3" t="s">
        <v>12</v>
      </c>
    </row>
    <row r="10" spans="1:2">
      <c r="A10" s="4"/>
      <c r="B10" s="3"/>
    </row>
    <row r="11" spans="1:2">
      <c r="A11" s="5" t="s">
        <v>13</v>
      </c>
      <c r="B11" s="5" t="s">
        <v>14</v>
      </c>
    </row>
    <row r="12" spans="1:2" ht="30.75">
      <c r="A12" s="4" t="s">
        <v>15</v>
      </c>
      <c r="B12" s="3" t="s">
        <v>16</v>
      </c>
    </row>
    <row r="13" spans="1:2" ht="213">
      <c r="A13" s="4" t="s">
        <v>17</v>
      </c>
      <c r="B13" s="3" t="s">
        <v>18</v>
      </c>
    </row>
    <row r="14" spans="1:2">
      <c r="A14" s="4"/>
      <c r="B14" s="3"/>
    </row>
    <row r="15" spans="1:2" ht="229.5">
      <c r="A15" s="4" t="s">
        <v>19</v>
      </c>
      <c r="B15" s="3" t="s">
        <v>20</v>
      </c>
    </row>
    <row r="16" spans="1:2" ht="167.25">
      <c r="A16" s="4" t="s">
        <v>21</v>
      </c>
      <c r="B16" s="3" t="s">
        <v>22</v>
      </c>
    </row>
    <row r="17" spans="1:2">
      <c r="A17" s="4"/>
      <c r="B17" s="3"/>
    </row>
    <row r="18" spans="1:2" ht="351">
      <c r="A18" s="6" t="s">
        <v>23</v>
      </c>
      <c r="B18" s="7" t="s">
        <v>24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DD76-AAAB-424C-A3D1-80118587EA5B}">
  <dimension ref="A1:K9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5.7109375" customWidth="1"/>
    <col min="3" max="3" width="62.7109375" customWidth="1"/>
    <col min="4" max="4" width="24.7109375" customWidth="1"/>
    <col min="5" max="5" width="18.7109375" customWidth="1"/>
    <col min="6" max="6" width="10.7109375" customWidth="1"/>
    <col min="7" max="7" width="20.7109375" customWidth="1"/>
    <col min="8" max="8" width="12.7109375" customWidth="1"/>
    <col min="9" max="9" width="15.7109375" customWidth="1"/>
    <col min="10" max="10" width="36.7109375" customWidth="1"/>
    <col min="11" max="11" width="17.7109375" customWidth="1"/>
  </cols>
  <sheetData>
    <row r="1" spans="1:11" ht="24" customHeight="1">
      <c r="A1" s="27" t="s">
        <v>25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32.25" customHeight="1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</row>
    <row r="3" spans="1:11">
      <c r="A3" s="10">
        <v>4101</v>
      </c>
      <c r="B3" s="2" t="s">
        <v>37</v>
      </c>
      <c r="C3" s="2" t="s">
        <v>38</v>
      </c>
      <c r="D3" s="2" t="s">
        <v>39</v>
      </c>
      <c r="E3" s="2" t="s">
        <v>40</v>
      </c>
      <c r="F3" s="12" t="s">
        <v>41</v>
      </c>
      <c r="G3" s="12" t="s">
        <v>42</v>
      </c>
      <c r="H3" s="13"/>
      <c r="I3" s="13"/>
      <c r="J3" s="2" t="s">
        <v>43</v>
      </c>
      <c r="K3" s="11">
        <v>46300.425000000003</v>
      </c>
    </row>
    <row r="4" spans="1:11">
      <c r="A4" s="10">
        <v>4102</v>
      </c>
      <c r="B4" s="2" t="s">
        <v>37</v>
      </c>
      <c r="C4" s="2" t="s">
        <v>44</v>
      </c>
      <c r="D4" s="2" t="s">
        <v>45</v>
      </c>
      <c r="E4" s="2" t="s">
        <v>46</v>
      </c>
      <c r="F4" s="12" t="s">
        <v>41</v>
      </c>
      <c r="G4" s="12" t="s">
        <v>42</v>
      </c>
      <c r="H4" s="13"/>
      <c r="I4" s="13"/>
      <c r="J4" s="2" t="s">
        <v>47</v>
      </c>
      <c r="K4" s="11">
        <v>46300.425000000003</v>
      </c>
    </row>
    <row r="5" spans="1:11">
      <c r="A5" s="10">
        <v>4103</v>
      </c>
      <c r="B5" s="2" t="s">
        <v>37</v>
      </c>
      <c r="C5" s="2" t="s">
        <v>48</v>
      </c>
      <c r="D5" s="2" t="s">
        <v>49</v>
      </c>
      <c r="E5" s="2" t="s">
        <v>50</v>
      </c>
      <c r="F5" s="12" t="s">
        <v>41</v>
      </c>
      <c r="G5" s="12" t="s">
        <v>42</v>
      </c>
      <c r="H5" s="13"/>
      <c r="I5" s="13"/>
      <c r="J5" s="2" t="s">
        <v>51</v>
      </c>
      <c r="K5" s="11">
        <v>46300.425000000003</v>
      </c>
    </row>
    <row r="6" spans="1:11">
      <c r="A6" s="10">
        <v>4104</v>
      </c>
      <c r="B6" s="2" t="s">
        <v>37</v>
      </c>
      <c r="C6" s="2" t="s">
        <v>52</v>
      </c>
      <c r="D6" s="2" t="s">
        <v>53</v>
      </c>
      <c r="E6" s="2" t="s">
        <v>54</v>
      </c>
      <c r="F6" s="12" t="s">
        <v>41</v>
      </c>
      <c r="G6" s="12" t="s">
        <v>42</v>
      </c>
      <c r="H6" s="13"/>
      <c r="I6" s="13"/>
      <c r="J6" s="2" t="s">
        <v>55</v>
      </c>
      <c r="K6" s="11">
        <v>46300.425000000003</v>
      </c>
    </row>
    <row r="7" spans="1:11">
      <c r="A7" s="10">
        <v>4105</v>
      </c>
      <c r="B7" s="2" t="s">
        <v>37</v>
      </c>
      <c r="C7" s="2" t="s">
        <v>56</v>
      </c>
      <c r="D7" s="2" t="s">
        <v>57</v>
      </c>
      <c r="E7" s="2" t="s">
        <v>58</v>
      </c>
      <c r="F7" s="12" t="s">
        <v>41</v>
      </c>
      <c r="G7" s="12" t="s">
        <v>42</v>
      </c>
      <c r="H7" s="13"/>
      <c r="I7" s="13"/>
      <c r="J7" s="2" t="s">
        <v>59</v>
      </c>
      <c r="K7" s="11">
        <v>46300.425000000003</v>
      </c>
    </row>
    <row r="8" spans="1:11">
      <c r="A8" s="10">
        <v>4106</v>
      </c>
      <c r="B8" s="2" t="s">
        <v>37</v>
      </c>
      <c r="C8" s="2" t="s">
        <v>60</v>
      </c>
      <c r="D8" s="2" t="s">
        <v>61</v>
      </c>
      <c r="E8" s="2" t="s">
        <v>62</v>
      </c>
      <c r="F8" s="12" t="s">
        <v>41</v>
      </c>
      <c r="G8" s="12" t="s">
        <v>42</v>
      </c>
      <c r="H8" s="13"/>
      <c r="I8" s="13"/>
      <c r="J8" s="2" t="s">
        <v>63</v>
      </c>
      <c r="K8" s="11">
        <v>46300.425000000003</v>
      </c>
    </row>
    <row r="9" spans="1:11">
      <c r="A9" s="10">
        <v>4107</v>
      </c>
      <c r="B9" s="2" t="s">
        <v>64</v>
      </c>
      <c r="C9" s="2" t="s">
        <v>65</v>
      </c>
      <c r="D9" s="2" t="s">
        <v>39</v>
      </c>
      <c r="E9" s="2" t="s">
        <v>40</v>
      </c>
      <c r="F9" s="12" t="s">
        <v>41</v>
      </c>
      <c r="G9" s="12" t="s">
        <v>42</v>
      </c>
      <c r="H9" s="13"/>
      <c r="I9" s="13"/>
      <c r="J9" s="2" t="s">
        <v>43</v>
      </c>
      <c r="K9" s="11">
        <v>46303.652778000003</v>
      </c>
    </row>
    <row r="10" spans="1:11">
      <c r="A10" s="10">
        <v>4108</v>
      </c>
      <c r="B10" s="2" t="s">
        <v>64</v>
      </c>
      <c r="C10" s="2" t="s">
        <v>66</v>
      </c>
      <c r="D10" s="2" t="s">
        <v>39</v>
      </c>
      <c r="E10" s="2" t="s">
        <v>40</v>
      </c>
      <c r="F10" s="12" t="s">
        <v>41</v>
      </c>
      <c r="G10" s="12" t="s">
        <v>42</v>
      </c>
      <c r="H10" s="13"/>
      <c r="I10" s="13"/>
      <c r="J10" s="2" t="s">
        <v>43</v>
      </c>
      <c r="K10" s="11">
        <v>46303.652778000003</v>
      </c>
    </row>
    <row r="11" spans="1:11">
      <c r="A11" s="10">
        <v>4109</v>
      </c>
      <c r="B11" s="2" t="s">
        <v>64</v>
      </c>
      <c r="C11" s="2" t="s">
        <v>67</v>
      </c>
      <c r="D11" s="2" t="s">
        <v>39</v>
      </c>
      <c r="E11" s="2" t="s">
        <v>40</v>
      </c>
      <c r="F11" s="12" t="s">
        <v>41</v>
      </c>
      <c r="G11" s="12" t="s">
        <v>42</v>
      </c>
      <c r="H11" s="13"/>
      <c r="I11" s="13"/>
      <c r="J11" s="2" t="s">
        <v>43</v>
      </c>
      <c r="K11" s="11">
        <v>46303.652778000003</v>
      </c>
    </row>
    <row r="12" spans="1:11">
      <c r="A12" s="10">
        <v>4110</v>
      </c>
      <c r="B12" s="2" t="s">
        <v>64</v>
      </c>
      <c r="C12" s="2" t="s">
        <v>68</v>
      </c>
      <c r="D12" s="2" t="s">
        <v>45</v>
      </c>
      <c r="E12" s="2" t="s">
        <v>46</v>
      </c>
      <c r="F12" s="12" t="s">
        <v>41</v>
      </c>
      <c r="G12" s="12" t="s">
        <v>42</v>
      </c>
      <c r="H12" s="13"/>
      <c r="I12" s="13"/>
      <c r="J12" s="2" t="s">
        <v>47</v>
      </c>
      <c r="K12" s="11">
        <v>46303.652778000003</v>
      </c>
    </row>
    <row r="13" spans="1:11">
      <c r="A13" s="10">
        <v>4111</v>
      </c>
      <c r="B13" s="2" t="s">
        <v>64</v>
      </c>
      <c r="C13" s="2" t="s">
        <v>69</v>
      </c>
      <c r="D13" s="2" t="s">
        <v>45</v>
      </c>
      <c r="E13" s="2" t="s">
        <v>46</v>
      </c>
      <c r="F13" s="12" t="s">
        <v>41</v>
      </c>
      <c r="G13" s="12" t="s">
        <v>42</v>
      </c>
      <c r="H13" s="13"/>
      <c r="I13" s="13"/>
      <c r="J13" s="2" t="s">
        <v>47</v>
      </c>
      <c r="K13" s="11">
        <v>46303.652778000003</v>
      </c>
    </row>
    <row r="14" spans="1:11">
      <c r="A14" s="10">
        <v>4112</v>
      </c>
      <c r="B14" s="2" t="s">
        <v>64</v>
      </c>
      <c r="C14" s="2" t="s">
        <v>70</v>
      </c>
      <c r="D14" s="2" t="s">
        <v>49</v>
      </c>
      <c r="E14" s="2" t="s">
        <v>50</v>
      </c>
      <c r="F14" s="12" t="s">
        <v>41</v>
      </c>
      <c r="G14" s="12" t="s">
        <v>42</v>
      </c>
      <c r="H14" s="13"/>
      <c r="I14" s="13"/>
      <c r="J14" s="2" t="s">
        <v>51</v>
      </c>
      <c r="K14" s="11">
        <v>46303.652778000003</v>
      </c>
    </row>
    <row r="15" spans="1:11">
      <c r="A15" s="10">
        <v>4113</v>
      </c>
      <c r="B15" s="2" t="s">
        <v>64</v>
      </c>
      <c r="C15" s="2" t="s">
        <v>71</v>
      </c>
      <c r="D15" s="2" t="s">
        <v>49</v>
      </c>
      <c r="E15" s="2" t="s">
        <v>50</v>
      </c>
      <c r="F15" s="12" t="s">
        <v>41</v>
      </c>
      <c r="G15" s="12" t="s">
        <v>42</v>
      </c>
      <c r="H15" s="13"/>
      <c r="I15" s="13"/>
      <c r="J15" s="2" t="s">
        <v>51</v>
      </c>
      <c r="K15" s="11">
        <v>46303.652778000003</v>
      </c>
    </row>
    <row r="16" spans="1:11">
      <c r="A16" s="10">
        <v>4114</v>
      </c>
      <c r="B16" s="2" t="s">
        <v>64</v>
      </c>
      <c r="C16" s="2" t="s">
        <v>72</v>
      </c>
      <c r="D16" s="2" t="s">
        <v>53</v>
      </c>
      <c r="E16" s="2" t="s">
        <v>54</v>
      </c>
      <c r="F16" s="12" t="s">
        <v>41</v>
      </c>
      <c r="G16" s="12" t="s">
        <v>42</v>
      </c>
      <c r="H16" s="13"/>
      <c r="I16" s="13"/>
      <c r="J16" s="2" t="s">
        <v>55</v>
      </c>
      <c r="K16" s="11">
        <v>46303.652778000003</v>
      </c>
    </row>
    <row r="17" spans="1:11">
      <c r="A17" s="10">
        <v>4115</v>
      </c>
      <c r="B17" s="2" t="s">
        <v>64</v>
      </c>
      <c r="C17" s="2" t="s">
        <v>73</v>
      </c>
      <c r="D17" s="2" t="s">
        <v>53</v>
      </c>
      <c r="E17" s="2" t="s">
        <v>54</v>
      </c>
      <c r="F17" s="12" t="s">
        <v>74</v>
      </c>
      <c r="G17" s="12" t="s">
        <v>42</v>
      </c>
      <c r="H17" s="13"/>
      <c r="I17" s="13"/>
      <c r="J17" s="2" t="s">
        <v>55</v>
      </c>
      <c r="K17" s="11">
        <v>46303.652778000003</v>
      </c>
    </row>
    <row r="18" spans="1:11">
      <c r="A18" s="10">
        <v>4116</v>
      </c>
      <c r="B18" s="2" t="s">
        <v>64</v>
      </c>
      <c r="C18" s="2" t="s">
        <v>75</v>
      </c>
      <c r="D18" s="2" t="s">
        <v>57</v>
      </c>
      <c r="E18" s="2" t="s">
        <v>58</v>
      </c>
      <c r="F18" s="12" t="s">
        <v>41</v>
      </c>
      <c r="G18" s="12" t="s">
        <v>42</v>
      </c>
      <c r="H18" s="13"/>
      <c r="I18" s="13"/>
      <c r="J18" s="2" t="s">
        <v>59</v>
      </c>
      <c r="K18" s="11">
        <v>46303.652778000003</v>
      </c>
    </row>
    <row r="19" spans="1:11">
      <c r="A19" s="10">
        <v>4117</v>
      </c>
      <c r="B19" s="2" t="s">
        <v>64</v>
      </c>
      <c r="C19" s="2" t="s">
        <v>76</v>
      </c>
      <c r="D19" s="2" t="s">
        <v>57</v>
      </c>
      <c r="E19" s="2" t="s">
        <v>58</v>
      </c>
      <c r="F19" s="12" t="s">
        <v>74</v>
      </c>
      <c r="G19" s="12" t="s">
        <v>42</v>
      </c>
      <c r="H19" s="13"/>
      <c r="I19" s="13"/>
      <c r="J19" s="2" t="s">
        <v>59</v>
      </c>
      <c r="K19" s="11">
        <v>46303.652778000003</v>
      </c>
    </row>
    <row r="20" spans="1:11">
      <c r="A20" s="10">
        <v>4118</v>
      </c>
      <c r="B20" s="2" t="s">
        <v>64</v>
      </c>
      <c r="C20" s="2" t="s">
        <v>77</v>
      </c>
      <c r="D20" s="2" t="s">
        <v>61</v>
      </c>
      <c r="E20" s="2" t="s">
        <v>62</v>
      </c>
      <c r="F20" s="12" t="s">
        <v>41</v>
      </c>
      <c r="G20" s="12" t="s">
        <v>42</v>
      </c>
      <c r="H20" s="13"/>
      <c r="I20" s="13"/>
      <c r="J20" s="2" t="s">
        <v>63</v>
      </c>
      <c r="K20" s="11">
        <v>46303.652778000003</v>
      </c>
    </row>
    <row r="21" spans="1:11">
      <c r="A21" s="10">
        <v>4119</v>
      </c>
      <c r="B21" s="2" t="s">
        <v>64</v>
      </c>
      <c r="C21" s="2" t="s">
        <v>78</v>
      </c>
      <c r="D21" s="2" t="s">
        <v>61</v>
      </c>
      <c r="E21" s="2" t="s">
        <v>62</v>
      </c>
      <c r="F21" s="12" t="s">
        <v>41</v>
      </c>
      <c r="G21" s="12" t="s">
        <v>42</v>
      </c>
      <c r="H21" s="13"/>
      <c r="I21" s="13"/>
      <c r="J21" s="2" t="s">
        <v>63</v>
      </c>
      <c r="K21" s="11">
        <v>46303.652778000003</v>
      </c>
    </row>
    <row r="22" spans="1:11">
      <c r="A22" s="10">
        <v>4120</v>
      </c>
      <c r="B22" s="2" t="s">
        <v>64</v>
      </c>
      <c r="C22" s="2" t="s">
        <v>79</v>
      </c>
      <c r="D22" s="2" t="s">
        <v>39</v>
      </c>
      <c r="E22" s="2" t="s">
        <v>40</v>
      </c>
      <c r="F22" s="12" t="s">
        <v>74</v>
      </c>
      <c r="G22" s="12" t="s">
        <v>42</v>
      </c>
      <c r="H22" s="13"/>
      <c r="I22" s="13"/>
      <c r="J22" s="2" t="s">
        <v>43</v>
      </c>
      <c r="K22" s="11">
        <v>46303.652778000003</v>
      </c>
    </row>
    <row r="23" spans="1:11">
      <c r="A23" s="10">
        <v>4121</v>
      </c>
      <c r="B23" s="2" t="s">
        <v>80</v>
      </c>
      <c r="C23" s="2" t="s">
        <v>81</v>
      </c>
      <c r="D23" s="2" t="s">
        <v>39</v>
      </c>
      <c r="E23" s="2" t="s">
        <v>40</v>
      </c>
      <c r="F23" s="12" t="s">
        <v>82</v>
      </c>
      <c r="G23" s="12" t="s">
        <v>83</v>
      </c>
      <c r="H23" s="13">
        <v>5</v>
      </c>
      <c r="I23" s="13"/>
      <c r="J23" s="2" t="s">
        <v>43</v>
      </c>
      <c r="K23" s="11">
        <v>46296.375</v>
      </c>
    </row>
    <row r="24" spans="1:11">
      <c r="A24" s="10">
        <v>4122</v>
      </c>
      <c r="B24" s="2" t="s">
        <v>80</v>
      </c>
      <c r="C24" s="2" t="s">
        <v>84</v>
      </c>
      <c r="D24" s="2" t="s">
        <v>39</v>
      </c>
      <c r="E24" s="2" t="s">
        <v>40</v>
      </c>
      <c r="F24" s="12" t="s">
        <v>82</v>
      </c>
      <c r="G24" s="12" t="s">
        <v>83</v>
      </c>
      <c r="H24" s="13">
        <v>3</v>
      </c>
      <c r="I24" s="13"/>
      <c r="J24" s="2" t="s">
        <v>43</v>
      </c>
      <c r="K24" s="11">
        <v>46297.421527999999</v>
      </c>
    </row>
    <row r="25" spans="1:11">
      <c r="A25" s="10">
        <v>4123</v>
      </c>
      <c r="B25" s="2" t="s">
        <v>80</v>
      </c>
      <c r="C25" s="2" t="s">
        <v>85</v>
      </c>
      <c r="D25" s="2" t="s">
        <v>39</v>
      </c>
      <c r="E25" s="2" t="s">
        <v>40</v>
      </c>
      <c r="F25" s="12" t="s">
        <v>82</v>
      </c>
      <c r="G25" s="12" t="s">
        <v>83</v>
      </c>
      <c r="H25" s="13">
        <v>5</v>
      </c>
      <c r="I25" s="13"/>
      <c r="J25" s="2" t="s">
        <v>43</v>
      </c>
      <c r="K25" s="11">
        <v>46298.468055999998</v>
      </c>
    </row>
    <row r="26" spans="1:11">
      <c r="A26" s="10">
        <v>4124</v>
      </c>
      <c r="B26" s="2" t="s">
        <v>86</v>
      </c>
      <c r="C26" s="2" t="s">
        <v>87</v>
      </c>
      <c r="D26" s="2" t="s">
        <v>39</v>
      </c>
      <c r="E26" s="2" t="s">
        <v>58</v>
      </c>
      <c r="F26" s="12" t="s">
        <v>82</v>
      </c>
      <c r="G26" s="12" t="s">
        <v>83</v>
      </c>
      <c r="H26" s="13"/>
      <c r="I26" s="13">
        <v>0</v>
      </c>
      <c r="J26" s="2" t="s">
        <v>43</v>
      </c>
      <c r="K26" s="11">
        <v>46299.514582999996</v>
      </c>
    </row>
    <row r="27" spans="1:11">
      <c r="A27" s="10">
        <v>4125</v>
      </c>
      <c r="B27" s="2" t="s">
        <v>80</v>
      </c>
      <c r="C27" s="2" t="s">
        <v>88</v>
      </c>
      <c r="D27" s="2" t="s">
        <v>45</v>
      </c>
      <c r="E27" s="2" t="s">
        <v>46</v>
      </c>
      <c r="F27" s="12" t="s">
        <v>82</v>
      </c>
      <c r="G27" s="12" t="s">
        <v>83</v>
      </c>
      <c r="H27" s="13">
        <v>5</v>
      </c>
      <c r="I27" s="13"/>
      <c r="J27" s="2" t="s">
        <v>47</v>
      </c>
      <c r="K27" s="11">
        <v>46300.561111000003</v>
      </c>
    </row>
    <row r="28" spans="1:11">
      <c r="A28" s="10">
        <v>4126</v>
      </c>
      <c r="B28" s="2" t="s">
        <v>80</v>
      </c>
      <c r="C28" s="2" t="s">
        <v>89</v>
      </c>
      <c r="D28" s="2" t="s">
        <v>45</v>
      </c>
      <c r="E28" s="2" t="s">
        <v>46</v>
      </c>
      <c r="F28" s="12" t="s">
        <v>82</v>
      </c>
      <c r="G28" s="12" t="s">
        <v>83</v>
      </c>
      <c r="H28" s="13">
        <v>8</v>
      </c>
      <c r="I28" s="13"/>
      <c r="J28" s="2" t="s">
        <v>47</v>
      </c>
      <c r="K28" s="11">
        <v>46301.607639000002</v>
      </c>
    </row>
    <row r="29" spans="1:11">
      <c r="A29" s="10">
        <v>4127</v>
      </c>
      <c r="B29" s="2" t="s">
        <v>90</v>
      </c>
      <c r="C29" s="2" t="s">
        <v>91</v>
      </c>
      <c r="D29" s="2" t="s">
        <v>45</v>
      </c>
      <c r="E29" s="2" t="s">
        <v>46</v>
      </c>
      <c r="F29" s="12" t="s">
        <v>82</v>
      </c>
      <c r="G29" s="12" t="s">
        <v>83</v>
      </c>
      <c r="H29" s="13">
        <v>2</v>
      </c>
      <c r="I29" s="13"/>
      <c r="J29" s="2" t="s">
        <v>47</v>
      </c>
      <c r="K29" s="11">
        <v>46302.654167000001</v>
      </c>
    </row>
    <row r="30" spans="1:11">
      <c r="A30" s="10">
        <v>4128</v>
      </c>
      <c r="B30" s="2" t="s">
        <v>80</v>
      </c>
      <c r="C30" s="2" t="s">
        <v>92</v>
      </c>
      <c r="D30" s="2" t="s">
        <v>49</v>
      </c>
      <c r="E30" s="2" t="s">
        <v>50</v>
      </c>
      <c r="F30" s="12" t="s">
        <v>82</v>
      </c>
      <c r="G30" s="12" t="s">
        <v>83</v>
      </c>
      <c r="H30" s="13">
        <v>3</v>
      </c>
      <c r="I30" s="13"/>
      <c r="J30" s="2" t="s">
        <v>51</v>
      </c>
      <c r="K30" s="11">
        <v>46303.700693999999</v>
      </c>
    </row>
    <row r="31" spans="1:11">
      <c r="A31" s="10">
        <v>4129</v>
      </c>
      <c r="B31" s="2" t="s">
        <v>80</v>
      </c>
      <c r="C31" s="2" t="s">
        <v>93</v>
      </c>
      <c r="D31" s="2" t="s">
        <v>49</v>
      </c>
      <c r="E31" s="2" t="s">
        <v>50</v>
      </c>
      <c r="F31" s="12" t="s">
        <v>82</v>
      </c>
      <c r="G31" s="12" t="s">
        <v>83</v>
      </c>
      <c r="H31" s="13">
        <v>3</v>
      </c>
      <c r="I31" s="13"/>
      <c r="J31" s="2" t="s">
        <v>51</v>
      </c>
      <c r="K31" s="11">
        <v>46304.413889000003</v>
      </c>
    </row>
    <row r="32" spans="1:11">
      <c r="A32" s="10">
        <v>4130</v>
      </c>
      <c r="B32" s="2" t="s">
        <v>80</v>
      </c>
      <c r="C32" s="2" t="s">
        <v>94</v>
      </c>
      <c r="D32" s="2" t="s">
        <v>49</v>
      </c>
      <c r="E32" s="2" t="s">
        <v>50</v>
      </c>
      <c r="F32" s="12" t="s">
        <v>82</v>
      </c>
      <c r="G32" s="12" t="s">
        <v>83</v>
      </c>
      <c r="H32" s="13">
        <v>5</v>
      </c>
      <c r="I32" s="13"/>
      <c r="J32" s="2" t="s">
        <v>51</v>
      </c>
      <c r="K32" s="11">
        <v>46296.418749999997</v>
      </c>
    </row>
    <row r="33" spans="1:11">
      <c r="A33" s="10">
        <v>4131</v>
      </c>
      <c r="B33" s="2" t="s">
        <v>86</v>
      </c>
      <c r="C33" s="2" t="s">
        <v>95</v>
      </c>
      <c r="D33" s="2" t="s">
        <v>49</v>
      </c>
      <c r="E33" s="2" t="s">
        <v>50</v>
      </c>
      <c r="F33" s="12" t="s">
        <v>96</v>
      </c>
      <c r="G33" s="12" t="s">
        <v>83</v>
      </c>
      <c r="H33" s="13"/>
      <c r="I33" s="13">
        <v>0</v>
      </c>
      <c r="J33" s="2" t="s">
        <v>51</v>
      </c>
      <c r="K33" s="11">
        <v>46297.465278000003</v>
      </c>
    </row>
    <row r="34" spans="1:11">
      <c r="A34" s="10">
        <v>4132</v>
      </c>
      <c r="B34" s="2" t="s">
        <v>80</v>
      </c>
      <c r="C34" s="2" t="s">
        <v>97</v>
      </c>
      <c r="D34" s="2" t="s">
        <v>53</v>
      </c>
      <c r="E34" s="2" t="s">
        <v>54</v>
      </c>
      <c r="F34" s="12" t="s">
        <v>82</v>
      </c>
      <c r="G34" s="12" t="s">
        <v>83</v>
      </c>
      <c r="H34" s="13">
        <v>5</v>
      </c>
      <c r="I34" s="13"/>
      <c r="J34" s="2" t="s">
        <v>55</v>
      </c>
      <c r="K34" s="11">
        <v>46298.511806000002</v>
      </c>
    </row>
    <row r="35" spans="1:11">
      <c r="A35" s="10">
        <v>4133</v>
      </c>
      <c r="B35" s="2" t="s">
        <v>86</v>
      </c>
      <c r="C35" s="2" t="s">
        <v>98</v>
      </c>
      <c r="D35" s="2" t="s">
        <v>53</v>
      </c>
      <c r="E35" s="2" t="s">
        <v>54</v>
      </c>
      <c r="F35" s="12" t="s">
        <v>82</v>
      </c>
      <c r="G35" s="12" t="s">
        <v>83</v>
      </c>
      <c r="H35" s="13"/>
      <c r="I35" s="13">
        <v>0</v>
      </c>
      <c r="J35" s="2" t="s">
        <v>55</v>
      </c>
      <c r="K35" s="11">
        <v>46299.558333000001</v>
      </c>
    </row>
    <row r="36" spans="1:11">
      <c r="A36" s="10">
        <v>4134</v>
      </c>
      <c r="B36" s="2" t="s">
        <v>80</v>
      </c>
      <c r="C36" s="2" t="s">
        <v>99</v>
      </c>
      <c r="D36" s="2" t="s">
        <v>53</v>
      </c>
      <c r="E36" s="2" t="s">
        <v>54</v>
      </c>
      <c r="F36" s="12" t="s">
        <v>82</v>
      </c>
      <c r="G36" s="12" t="s">
        <v>83</v>
      </c>
      <c r="H36" s="13">
        <v>3</v>
      </c>
      <c r="I36" s="13"/>
      <c r="J36" s="2" t="s">
        <v>55</v>
      </c>
      <c r="K36" s="11">
        <v>46300.604861</v>
      </c>
    </row>
    <row r="37" spans="1:11">
      <c r="A37" s="10">
        <v>4135</v>
      </c>
      <c r="B37" s="2" t="s">
        <v>80</v>
      </c>
      <c r="C37" s="2" t="s">
        <v>100</v>
      </c>
      <c r="D37" s="2" t="s">
        <v>57</v>
      </c>
      <c r="E37" s="2" t="s">
        <v>58</v>
      </c>
      <c r="F37" s="12" t="s">
        <v>82</v>
      </c>
      <c r="G37" s="12" t="s">
        <v>83</v>
      </c>
      <c r="H37" s="13">
        <v>5</v>
      </c>
      <c r="I37" s="13"/>
      <c r="J37" s="2" t="s">
        <v>59</v>
      </c>
      <c r="K37" s="11">
        <v>46301.651388999999</v>
      </c>
    </row>
    <row r="38" spans="1:11">
      <c r="A38" s="10">
        <v>4136</v>
      </c>
      <c r="B38" s="2" t="s">
        <v>86</v>
      </c>
      <c r="C38" s="2" t="s">
        <v>101</v>
      </c>
      <c r="D38" s="2" t="s">
        <v>57</v>
      </c>
      <c r="E38" s="2" t="s">
        <v>58</v>
      </c>
      <c r="F38" s="12" t="s">
        <v>82</v>
      </c>
      <c r="G38" s="12" t="s">
        <v>83</v>
      </c>
      <c r="H38" s="13"/>
      <c r="I38" s="13">
        <v>0</v>
      </c>
      <c r="J38" s="2" t="s">
        <v>59</v>
      </c>
      <c r="K38" s="11">
        <v>46302.697916999998</v>
      </c>
    </row>
    <row r="39" spans="1:11">
      <c r="A39" s="10">
        <v>4137</v>
      </c>
      <c r="B39" s="2" t="s">
        <v>80</v>
      </c>
      <c r="C39" s="2" t="s">
        <v>102</v>
      </c>
      <c r="D39" s="2" t="s">
        <v>57</v>
      </c>
      <c r="E39" s="2" t="s">
        <v>58</v>
      </c>
      <c r="F39" s="12" t="s">
        <v>96</v>
      </c>
      <c r="G39" s="12" t="s">
        <v>83</v>
      </c>
      <c r="H39" s="13">
        <v>5</v>
      </c>
      <c r="I39" s="13"/>
      <c r="J39" s="2" t="s">
        <v>59</v>
      </c>
      <c r="K39" s="11">
        <v>46303.411111000001</v>
      </c>
    </row>
    <row r="40" spans="1:11">
      <c r="A40" s="10">
        <v>4138</v>
      </c>
      <c r="B40" s="2" t="s">
        <v>80</v>
      </c>
      <c r="C40" s="2" t="s">
        <v>103</v>
      </c>
      <c r="D40" s="2" t="s">
        <v>61</v>
      </c>
      <c r="E40" s="2" t="s">
        <v>62</v>
      </c>
      <c r="F40" s="12" t="s">
        <v>82</v>
      </c>
      <c r="G40" s="12" t="s">
        <v>83</v>
      </c>
      <c r="H40" s="13">
        <v>3</v>
      </c>
      <c r="I40" s="13"/>
      <c r="J40" s="2" t="s">
        <v>63</v>
      </c>
      <c r="K40" s="11">
        <v>46304.457639</v>
      </c>
    </row>
    <row r="41" spans="1:11">
      <c r="A41" s="10">
        <v>4139</v>
      </c>
      <c r="B41" s="2" t="s">
        <v>80</v>
      </c>
      <c r="C41" s="2" t="s">
        <v>104</v>
      </c>
      <c r="D41" s="2" t="s">
        <v>61</v>
      </c>
      <c r="E41" s="2" t="s">
        <v>62</v>
      </c>
      <c r="F41" s="12" t="s">
        <v>82</v>
      </c>
      <c r="G41" s="12" t="s">
        <v>83</v>
      </c>
      <c r="H41" s="13">
        <v>3</v>
      </c>
      <c r="I41" s="13"/>
      <c r="J41" s="2" t="s">
        <v>63</v>
      </c>
      <c r="K41" s="11">
        <v>46296.462500000001</v>
      </c>
    </row>
    <row r="42" spans="1:11">
      <c r="A42" s="10">
        <v>4140</v>
      </c>
      <c r="B42" s="2" t="s">
        <v>90</v>
      </c>
      <c r="C42" s="2" t="s">
        <v>105</v>
      </c>
      <c r="D42" s="2" t="s">
        <v>39</v>
      </c>
      <c r="E42" s="2" t="s">
        <v>40</v>
      </c>
      <c r="F42" s="12" t="s">
        <v>82</v>
      </c>
      <c r="G42" s="12" t="s">
        <v>83</v>
      </c>
      <c r="H42" s="13">
        <v>2</v>
      </c>
      <c r="I42" s="13"/>
      <c r="J42" s="2" t="s">
        <v>43</v>
      </c>
      <c r="K42" s="11">
        <v>46297.509028</v>
      </c>
    </row>
    <row r="43" spans="1:11">
      <c r="A43" s="10">
        <v>4141</v>
      </c>
      <c r="B43" s="2" t="s">
        <v>86</v>
      </c>
      <c r="C43" s="2" t="s">
        <v>106</v>
      </c>
      <c r="D43" s="2" t="s">
        <v>39</v>
      </c>
      <c r="E43" s="2" t="s">
        <v>107</v>
      </c>
      <c r="F43" s="12" t="s">
        <v>82</v>
      </c>
      <c r="G43" s="12" t="s">
        <v>83</v>
      </c>
      <c r="H43" s="13"/>
      <c r="I43" s="13">
        <v>0</v>
      </c>
      <c r="J43" s="2" t="s">
        <v>43</v>
      </c>
      <c r="K43" s="11">
        <v>46298.555555999999</v>
      </c>
    </row>
    <row r="44" spans="1:11">
      <c r="A44" s="10">
        <v>4142</v>
      </c>
      <c r="B44" s="2" t="s">
        <v>80</v>
      </c>
      <c r="C44" s="2" t="s">
        <v>108</v>
      </c>
      <c r="D44" s="2" t="s">
        <v>39</v>
      </c>
      <c r="E44" s="2" t="s">
        <v>40</v>
      </c>
      <c r="F44" s="12" t="s">
        <v>82</v>
      </c>
      <c r="G44" s="12" t="s">
        <v>83</v>
      </c>
      <c r="H44" s="13">
        <v>5</v>
      </c>
      <c r="I44" s="13"/>
      <c r="J44" s="2" t="s">
        <v>43</v>
      </c>
      <c r="K44" s="11">
        <v>46299.602082999998</v>
      </c>
    </row>
    <row r="45" spans="1:11">
      <c r="A45" s="10">
        <v>4143</v>
      </c>
      <c r="B45" s="2" t="s">
        <v>80</v>
      </c>
      <c r="C45" s="2" t="s">
        <v>109</v>
      </c>
      <c r="D45" s="2" t="s">
        <v>39</v>
      </c>
      <c r="E45" s="2" t="s">
        <v>40</v>
      </c>
      <c r="F45" s="12" t="s">
        <v>82</v>
      </c>
      <c r="G45" s="12" t="s">
        <v>110</v>
      </c>
      <c r="H45" s="13">
        <v>8</v>
      </c>
      <c r="I45" s="13">
        <v>0</v>
      </c>
      <c r="J45" s="2" t="s">
        <v>111</v>
      </c>
      <c r="K45" s="11">
        <v>46307.375</v>
      </c>
    </row>
    <row r="46" spans="1:11">
      <c r="A46" s="10">
        <v>4144</v>
      </c>
      <c r="B46" s="2" t="s">
        <v>80</v>
      </c>
      <c r="C46" s="2" t="s">
        <v>112</v>
      </c>
      <c r="D46" s="2" t="s">
        <v>39</v>
      </c>
      <c r="E46" s="2" t="s">
        <v>40</v>
      </c>
      <c r="F46" s="12" t="s">
        <v>82</v>
      </c>
      <c r="G46" s="12" t="s">
        <v>110</v>
      </c>
      <c r="H46" s="13">
        <v>5</v>
      </c>
      <c r="I46" s="13">
        <v>0</v>
      </c>
      <c r="J46" s="2" t="s">
        <v>111</v>
      </c>
      <c r="K46" s="11">
        <v>46308.425693999998</v>
      </c>
    </row>
    <row r="47" spans="1:11">
      <c r="A47" s="10">
        <v>4145</v>
      </c>
      <c r="B47" s="2" t="s">
        <v>80</v>
      </c>
      <c r="C47" s="2" t="s">
        <v>113</v>
      </c>
      <c r="D47" s="2" t="s">
        <v>39</v>
      </c>
      <c r="E47" s="2" t="s">
        <v>40</v>
      </c>
      <c r="F47" s="12" t="s">
        <v>82</v>
      </c>
      <c r="G47" s="12" t="s">
        <v>110</v>
      </c>
      <c r="H47" s="13">
        <v>8</v>
      </c>
      <c r="I47" s="13">
        <v>0</v>
      </c>
      <c r="J47" s="2" t="s">
        <v>43</v>
      </c>
      <c r="K47" s="11">
        <v>46309.476389000003</v>
      </c>
    </row>
    <row r="48" spans="1:11">
      <c r="A48" s="10">
        <v>4146</v>
      </c>
      <c r="B48" s="2" t="s">
        <v>80</v>
      </c>
      <c r="C48" s="2" t="s">
        <v>114</v>
      </c>
      <c r="D48" s="2" t="s">
        <v>39</v>
      </c>
      <c r="E48" s="2" t="s">
        <v>40</v>
      </c>
      <c r="F48" s="12" t="s">
        <v>96</v>
      </c>
      <c r="G48" s="12" t="s">
        <v>110</v>
      </c>
      <c r="H48" s="13">
        <v>5</v>
      </c>
      <c r="I48" s="13">
        <v>0</v>
      </c>
      <c r="J48" s="2" t="s">
        <v>115</v>
      </c>
      <c r="K48" s="11">
        <v>46310.527083000001</v>
      </c>
    </row>
    <row r="49" spans="1:11">
      <c r="A49" s="10">
        <v>4147</v>
      </c>
      <c r="B49" s="2" t="s">
        <v>90</v>
      </c>
      <c r="C49" s="2" t="s">
        <v>116</v>
      </c>
      <c r="D49" s="2" t="s">
        <v>39</v>
      </c>
      <c r="E49" s="2" t="s">
        <v>40</v>
      </c>
      <c r="F49" s="12" t="s">
        <v>82</v>
      </c>
      <c r="G49" s="12" t="s">
        <v>110</v>
      </c>
      <c r="H49" s="13">
        <v>2</v>
      </c>
      <c r="I49" s="13">
        <v>0</v>
      </c>
      <c r="J49" s="2" t="s">
        <v>117</v>
      </c>
      <c r="K49" s="11">
        <v>46311.577777999999</v>
      </c>
    </row>
    <row r="50" spans="1:11">
      <c r="A50" s="10">
        <v>4148</v>
      </c>
      <c r="B50" s="2" t="s">
        <v>80</v>
      </c>
      <c r="C50" s="2" t="s">
        <v>118</v>
      </c>
      <c r="D50" s="2" t="s">
        <v>45</v>
      </c>
      <c r="E50" s="2" t="s">
        <v>46</v>
      </c>
      <c r="F50" s="12" t="s">
        <v>82</v>
      </c>
      <c r="G50" s="12" t="s">
        <v>110</v>
      </c>
      <c r="H50" s="13">
        <v>8</v>
      </c>
      <c r="I50" s="13">
        <v>0</v>
      </c>
      <c r="J50" s="2" t="s">
        <v>119</v>
      </c>
      <c r="K50" s="11">
        <v>46311.586805999999</v>
      </c>
    </row>
    <row r="51" spans="1:11">
      <c r="A51" s="10">
        <v>4149</v>
      </c>
      <c r="B51" s="2" t="s">
        <v>80</v>
      </c>
      <c r="C51" s="2" t="s">
        <v>120</v>
      </c>
      <c r="D51" s="2" t="s">
        <v>45</v>
      </c>
      <c r="E51" s="2" t="s">
        <v>46</v>
      </c>
      <c r="F51" s="12" t="s">
        <v>96</v>
      </c>
      <c r="G51" s="12" t="s">
        <v>110</v>
      </c>
      <c r="H51" s="13">
        <v>5</v>
      </c>
      <c r="I51" s="13">
        <v>0</v>
      </c>
      <c r="J51" s="2" t="s">
        <v>119</v>
      </c>
      <c r="K51" s="11">
        <v>46311.637499999997</v>
      </c>
    </row>
    <row r="52" spans="1:11">
      <c r="A52" s="10">
        <v>4150</v>
      </c>
      <c r="B52" s="2" t="s">
        <v>80</v>
      </c>
      <c r="C52" s="2" t="s">
        <v>121</v>
      </c>
      <c r="D52" s="2" t="s">
        <v>45</v>
      </c>
      <c r="E52" s="2" t="s">
        <v>46</v>
      </c>
      <c r="F52" s="12" t="s">
        <v>82</v>
      </c>
      <c r="G52" s="12" t="s">
        <v>110</v>
      </c>
      <c r="H52" s="13">
        <v>5</v>
      </c>
      <c r="I52" s="13">
        <v>0</v>
      </c>
      <c r="J52" s="2" t="s">
        <v>122</v>
      </c>
      <c r="K52" s="11">
        <v>46314.688194000002</v>
      </c>
    </row>
    <row r="53" spans="1:11">
      <c r="A53" s="10">
        <v>4151</v>
      </c>
      <c r="B53" s="2" t="s">
        <v>80</v>
      </c>
      <c r="C53" s="2" t="s">
        <v>123</v>
      </c>
      <c r="D53" s="2" t="s">
        <v>49</v>
      </c>
      <c r="E53" s="2" t="s">
        <v>50</v>
      </c>
      <c r="F53" s="12" t="s">
        <v>82</v>
      </c>
      <c r="G53" s="12" t="s">
        <v>110</v>
      </c>
      <c r="H53" s="13">
        <v>5</v>
      </c>
      <c r="I53" s="13">
        <v>0</v>
      </c>
      <c r="J53" s="2" t="s">
        <v>51</v>
      </c>
      <c r="K53" s="11">
        <v>46307.738889</v>
      </c>
    </row>
    <row r="54" spans="1:11">
      <c r="A54" s="10">
        <v>4152</v>
      </c>
      <c r="B54" s="2" t="s">
        <v>80</v>
      </c>
      <c r="C54" s="2" t="s">
        <v>124</v>
      </c>
      <c r="D54" s="2" t="s">
        <v>49</v>
      </c>
      <c r="E54" s="2" t="s">
        <v>50</v>
      </c>
      <c r="F54" s="12" t="s">
        <v>82</v>
      </c>
      <c r="G54" s="12" t="s">
        <v>110</v>
      </c>
      <c r="H54" s="13">
        <v>5</v>
      </c>
      <c r="I54" s="13">
        <v>0</v>
      </c>
      <c r="J54" s="2" t="s">
        <v>51</v>
      </c>
      <c r="K54" s="11">
        <v>46308.414582999998</v>
      </c>
    </row>
    <row r="55" spans="1:11">
      <c r="A55" s="10">
        <v>4153</v>
      </c>
      <c r="B55" s="2" t="s">
        <v>80</v>
      </c>
      <c r="C55" s="2" t="s">
        <v>125</v>
      </c>
      <c r="D55" s="2" t="s">
        <v>49</v>
      </c>
      <c r="E55" s="2" t="s">
        <v>50</v>
      </c>
      <c r="F55" s="12" t="s">
        <v>82</v>
      </c>
      <c r="G55" s="12" t="s">
        <v>110</v>
      </c>
      <c r="H55" s="13">
        <v>3</v>
      </c>
      <c r="I55" s="13">
        <v>0</v>
      </c>
      <c r="J55" s="2" t="s">
        <v>51</v>
      </c>
      <c r="K55" s="11">
        <v>46309.423610999998</v>
      </c>
    </row>
    <row r="56" spans="1:11">
      <c r="A56" s="10">
        <v>4154</v>
      </c>
      <c r="B56" s="2" t="s">
        <v>80</v>
      </c>
      <c r="C56" s="2" t="s">
        <v>126</v>
      </c>
      <c r="D56" s="2" t="s">
        <v>53</v>
      </c>
      <c r="E56" s="2" t="s">
        <v>54</v>
      </c>
      <c r="F56" s="12" t="s">
        <v>82</v>
      </c>
      <c r="G56" s="12" t="s">
        <v>110</v>
      </c>
      <c r="H56" s="13">
        <v>5</v>
      </c>
      <c r="I56" s="13">
        <v>0</v>
      </c>
      <c r="J56" s="2" t="s">
        <v>127</v>
      </c>
      <c r="K56" s="11">
        <v>46310.474305999996</v>
      </c>
    </row>
    <row r="57" spans="1:11">
      <c r="A57" s="10">
        <v>4155</v>
      </c>
      <c r="B57" s="2" t="s">
        <v>80</v>
      </c>
      <c r="C57" s="2" t="s">
        <v>128</v>
      </c>
      <c r="D57" s="2" t="s">
        <v>53</v>
      </c>
      <c r="E57" s="2" t="s">
        <v>54</v>
      </c>
      <c r="F57" s="12" t="s">
        <v>96</v>
      </c>
      <c r="G57" s="12" t="s">
        <v>110</v>
      </c>
      <c r="H57" s="13">
        <v>3</v>
      </c>
      <c r="I57" s="13">
        <v>0</v>
      </c>
      <c r="J57" s="2" t="s">
        <v>129</v>
      </c>
      <c r="K57" s="11">
        <v>46311.525000000001</v>
      </c>
    </row>
    <row r="58" spans="1:11">
      <c r="A58" s="10">
        <v>4156</v>
      </c>
      <c r="B58" s="2" t="s">
        <v>90</v>
      </c>
      <c r="C58" s="2" t="s">
        <v>130</v>
      </c>
      <c r="D58" s="2" t="s">
        <v>53</v>
      </c>
      <c r="E58" s="2" t="s">
        <v>54</v>
      </c>
      <c r="F58" s="12" t="s">
        <v>82</v>
      </c>
      <c r="G58" s="12" t="s">
        <v>110</v>
      </c>
      <c r="H58" s="13">
        <v>1</v>
      </c>
      <c r="I58" s="13">
        <v>0</v>
      </c>
      <c r="J58" s="2" t="s">
        <v>129</v>
      </c>
      <c r="K58" s="11">
        <v>46311.575693999999</v>
      </c>
    </row>
    <row r="59" spans="1:11">
      <c r="A59" s="10">
        <v>4157</v>
      </c>
      <c r="B59" s="2" t="s">
        <v>80</v>
      </c>
      <c r="C59" s="2" t="s">
        <v>131</v>
      </c>
      <c r="D59" s="2" t="s">
        <v>61</v>
      </c>
      <c r="E59" s="2" t="s">
        <v>62</v>
      </c>
      <c r="F59" s="12" t="s">
        <v>82</v>
      </c>
      <c r="G59" s="12" t="s">
        <v>110</v>
      </c>
      <c r="H59" s="13">
        <v>2</v>
      </c>
      <c r="I59" s="13">
        <v>0</v>
      </c>
      <c r="J59" s="2" t="s">
        <v>132</v>
      </c>
      <c r="K59" s="11">
        <v>46311.584722</v>
      </c>
    </row>
    <row r="60" spans="1:11">
      <c r="A60" s="10">
        <v>4158</v>
      </c>
      <c r="B60" s="2" t="s">
        <v>80</v>
      </c>
      <c r="C60" s="2" t="s">
        <v>133</v>
      </c>
      <c r="D60" s="2" t="s">
        <v>45</v>
      </c>
      <c r="E60" s="2" t="s">
        <v>46</v>
      </c>
      <c r="F60" s="12" t="s">
        <v>41</v>
      </c>
      <c r="G60" s="12" t="s">
        <v>110</v>
      </c>
      <c r="H60" s="13">
        <v>3</v>
      </c>
      <c r="I60" s="13"/>
      <c r="J60" s="2" t="s">
        <v>134</v>
      </c>
      <c r="K60" s="11">
        <v>46314.635416999998</v>
      </c>
    </row>
    <row r="61" spans="1:11">
      <c r="A61" s="10">
        <v>4159</v>
      </c>
      <c r="B61" s="2" t="s">
        <v>80</v>
      </c>
      <c r="C61" s="2" t="s">
        <v>135</v>
      </c>
      <c r="D61" s="2" t="s">
        <v>39</v>
      </c>
      <c r="E61" s="2" t="s">
        <v>40</v>
      </c>
      <c r="F61" s="12" t="s">
        <v>41</v>
      </c>
      <c r="G61" s="12" t="s">
        <v>110</v>
      </c>
      <c r="H61" s="13">
        <v>2</v>
      </c>
      <c r="I61" s="13"/>
      <c r="J61" s="2" t="s">
        <v>136</v>
      </c>
      <c r="K61" s="11">
        <v>46307.686111000003</v>
      </c>
    </row>
    <row r="62" spans="1:11">
      <c r="A62" s="10">
        <v>4160</v>
      </c>
      <c r="B62" s="2" t="s">
        <v>90</v>
      </c>
      <c r="C62" s="2" t="s">
        <v>137</v>
      </c>
      <c r="D62" s="2" t="s">
        <v>49</v>
      </c>
      <c r="E62" s="2" t="s">
        <v>50</v>
      </c>
      <c r="F62" s="12" t="s">
        <v>41</v>
      </c>
      <c r="G62" s="12" t="s">
        <v>110</v>
      </c>
      <c r="H62" s="13">
        <v>1</v>
      </c>
      <c r="I62" s="13"/>
      <c r="J62" s="2" t="s">
        <v>51</v>
      </c>
      <c r="K62" s="11">
        <v>46308.736806000001</v>
      </c>
    </row>
    <row r="63" spans="1:11">
      <c r="A63" s="10">
        <v>4161</v>
      </c>
      <c r="B63" s="2" t="s">
        <v>80</v>
      </c>
      <c r="C63" s="2" t="s">
        <v>138</v>
      </c>
      <c r="D63" s="2" t="s">
        <v>61</v>
      </c>
      <c r="E63" s="2" t="s">
        <v>62</v>
      </c>
      <c r="F63" s="12" t="s">
        <v>74</v>
      </c>
      <c r="G63" s="12" t="s">
        <v>110</v>
      </c>
      <c r="H63" s="13">
        <v>3</v>
      </c>
      <c r="I63" s="13"/>
      <c r="J63" s="2" t="s">
        <v>139</v>
      </c>
      <c r="K63" s="11">
        <v>46309.412499999999</v>
      </c>
    </row>
    <row r="64" spans="1:11">
      <c r="A64" s="10">
        <v>4162</v>
      </c>
      <c r="B64" s="2" t="s">
        <v>80</v>
      </c>
      <c r="C64" s="2" t="s">
        <v>140</v>
      </c>
      <c r="D64" s="2" t="s">
        <v>61</v>
      </c>
      <c r="E64" s="2" t="s">
        <v>62</v>
      </c>
      <c r="F64" s="12" t="s">
        <v>74</v>
      </c>
      <c r="G64" s="12" t="s">
        <v>110</v>
      </c>
      <c r="H64" s="13">
        <v>3</v>
      </c>
      <c r="I64" s="13"/>
      <c r="J64" s="2" t="s">
        <v>132</v>
      </c>
      <c r="K64" s="11">
        <v>46310.421527999999</v>
      </c>
    </row>
    <row r="65" spans="1:11">
      <c r="A65" s="10">
        <v>4163</v>
      </c>
      <c r="B65" s="2" t="s">
        <v>80</v>
      </c>
      <c r="C65" s="2" t="s">
        <v>141</v>
      </c>
      <c r="D65" s="2" t="s">
        <v>57</v>
      </c>
      <c r="E65" s="2" t="s">
        <v>58</v>
      </c>
      <c r="F65" s="12" t="s">
        <v>142</v>
      </c>
      <c r="G65" s="12" t="s">
        <v>110</v>
      </c>
      <c r="H65" s="13">
        <v>5</v>
      </c>
      <c r="I65" s="13"/>
      <c r="J65" s="2" t="s">
        <v>143</v>
      </c>
      <c r="K65" s="11">
        <v>46311.527778000003</v>
      </c>
    </row>
    <row r="66" spans="1:11">
      <c r="A66" s="10">
        <v>4164</v>
      </c>
      <c r="B66" s="2" t="s">
        <v>80</v>
      </c>
      <c r="C66" s="2" t="s">
        <v>144</v>
      </c>
      <c r="D66" s="2" t="s">
        <v>57</v>
      </c>
      <c r="E66" s="2" t="s">
        <v>58</v>
      </c>
      <c r="F66" s="12" t="s">
        <v>142</v>
      </c>
      <c r="G66" s="12" t="s">
        <v>110</v>
      </c>
      <c r="H66" s="13">
        <v>5</v>
      </c>
      <c r="I66" s="13"/>
      <c r="J66" s="2" t="s">
        <v>143</v>
      </c>
      <c r="K66" s="11">
        <v>46309.577082999996</v>
      </c>
    </row>
    <row r="67" spans="1:11">
      <c r="A67" s="10">
        <v>4165</v>
      </c>
      <c r="B67" s="2" t="s">
        <v>80</v>
      </c>
      <c r="C67" s="2" t="s">
        <v>145</v>
      </c>
      <c r="D67" s="2" t="s">
        <v>57</v>
      </c>
      <c r="E67" s="2" t="s">
        <v>58</v>
      </c>
      <c r="F67" s="12" t="s">
        <v>142</v>
      </c>
      <c r="G67" s="12" t="s">
        <v>110</v>
      </c>
      <c r="H67" s="13">
        <v>5</v>
      </c>
      <c r="I67" s="13"/>
      <c r="J67" s="2" t="s">
        <v>143</v>
      </c>
      <c r="K67" s="11">
        <v>46310.584722</v>
      </c>
    </row>
    <row r="68" spans="1:11">
      <c r="A68" s="10">
        <v>4166</v>
      </c>
      <c r="B68" s="2" t="s">
        <v>80</v>
      </c>
      <c r="C68" s="2" t="s">
        <v>146</v>
      </c>
      <c r="D68" s="2" t="s">
        <v>57</v>
      </c>
      <c r="E68" s="2" t="s">
        <v>58</v>
      </c>
      <c r="F68" s="12" t="s">
        <v>142</v>
      </c>
      <c r="G68" s="12" t="s">
        <v>110</v>
      </c>
      <c r="H68" s="13">
        <v>3</v>
      </c>
      <c r="I68" s="13"/>
      <c r="J68" s="2" t="s">
        <v>143</v>
      </c>
      <c r="K68" s="11">
        <v>46311.634028</v>
      </c>
    </row>
    <row r="69" spans="1:11">
      <c r="A69" s="10">
        <v>4167</v>
      </c>
      <c r="B69" s="2" t="s">
        <v>86</v>
      </c>
      <c r="C69" s="2" t="s">
        <v>147</v>
      </c>
      <c r="D69" s="2" t="s">
        <v>57</v>
      </c>
      <c r="E69" s="2" t="s">
        <v>58</v>
      </c>
      <c r="F69" s="12" t="s">
        <v>142</v>
      </c>
      <c r="G69" s="12" t="s">
        <v>110</v>
      </c>
      <c r="H69" s="13"/>
      <c r="I69" s="13">
        <v>16</v>
      </c>
      <c r="J69" s="2" t="s">
        <v>148</v>
      </c>
      <c r="K69" s="11">
        <v>46309.433333000001</v>
      </c>
    </row>
    <row r="70" spans="1:11">
      <c r="A70" s="10">
        <v>4168</v>
      </c>
      <c r="B70" s="2" t="s">
        <v>86</v>
      </c>
      <c r="C70" s="2" t="s">
        <v>149</v>
      </c>
      <c r="D70" s="2" t="s">
        <v>57</v>
      </c>
      <c r="E70" s="2" t="s">
        <v>58</v>
      </c>
      <c r="F70" s="12" t="s">
        <v>142</v>
      </c>
      <c r="G70" s="12" t="s">
        <v>110</v>
      </c>
      <c r="H70" s="13"/>
      <c r="I70" s="13">
        <v>12</v>
      </c>
      <c r="J70" s="2" t="s">
        <v>148</v>
      </c>
      <c r="K70" s="11">
        <v>46310.482639000002</v>
      </c>
    </row>
    <row r="71" spans="1:11">
      <c r="A71" s="10">
        <v>4169</v>
      </c>
      <c r="B71" s="2" t="s">
        <v>86</v>
      </c>
      <c r="C71" s="2" t="s">
        <v>150</v>
      </c>
      <c r="D71" s="2" t="s">
        <v>39</v>
      </c>
      <c r="E71" s="2" t="s">
        <v>58</v>
      </c>
      <c r="F71" s="12" t="s">
        <v>41</v>
      </c>
      <c r="G71" s="12" t="s">
        <v>110</v>
      </c>
      <c r="H71" s="13"/>
      <c r="I71" s="13">
        <v>6</v>
      </c>
      <c r="J71" s="2" t="s">
        <v>115</v>
      </c>
      <c r="K71" s="11">
        <v>46309.734722000001</v>
      </c>
    </row>
    <row r="72" spans="1:11">
      <c r="A72" s="10">
        <v>4170</v>
      </c>
      <c r="B72" s="2" t="s">
        <v>86</v>
      </c>
      <c r="C72" s="2" t="s">
        <v>151</v>
      </c>
      <c r="D72" s="2" t="s">
        <v>39</v>
      </c>
      <c r="E72" s="2" t="s">
        <v>107</v>
      </c>
      <c r="F72" s="12" t="s">
        <v>74</v>
      </c>
      <c r="G72" s="12" t="s">
        <v>110</v>
      </c>
      <c r="H72" s="13"/>
      <c r="I72" s="13">
        <v>4</v>
      </c>
      <c r="J72" s="2" t="s">
        <v>43</v>
      </c>
      <c r="K72" s="11">
        <v>46310.410416999999</v>
      </c>
    </row>
    <row r="73" spans="1:11">
      <c r="A73" s="10">
        <v>4171</v>
      </c>
      <c r="B73" s="2" t="s">
        <v>80</v>
      </c>
      <c r="C73" s="2" t="s">
        <v>152</v>
      </c>
      <c r="D73" s="2" t="s">
        <v>39</v>
      </c>
      <c r="E73" s="2" t="s">
        <v>40</v>
      </c>
      <c r="F73" s="12" t="s">
        <v>74</v>
      </c>
      <c r="G73" s="12" t="s">
        <v>153</v>
      </c>
      <c r="H73" s="13">
        <v>5</v>
      </c>
      <c r="I73" s="13"/>
      <c r="J73" s="2" t="s">
        <v>154</v>
      </c>
      <c r="K73" s="11">
        <v>46300.375</v>
      </c>
    </row>
    <row r="74" spans="1:11">
      <c r="A74" s="10">
        <v>4172</v>
      </c>
      <c r="B74" s="2" t="s">
        <v>80</v>
      </c>
      <c r="C74" s="2" t="s">
        <v>155</v>
      </c>
      <c r="D74" s="2" t="s">
        <v>39</v>
      </c>
      <c r="E74" s="2" t="s">
        <v>40</v>
      </c>
      <c r="F74" s="12" t="s">
        <v>74</v>
      </c>
      <c r="G74" s="12" t="s">
        <v>153</v>
      </c>
      <c r="H74" s="13">
        <v>8</v>
      </c>
      <c r="I74" s="13"/>
      <c r="J74" s="2" t="s">
        <v>156</v>
      </c>
      <c r="K74" s="11">
        <v>46301.428472</v>
      </c>
    </row>
    <row r="75" spans="1:11">
      <c r="A75" s="10">
        <v>4173</v>
      </c>
      <c r="B75" s="2" t="s">
        <v>80</v>
      </c>
      <c r="C75" s="2" t="s">
        <v>157</v>
      </c>
      <c r="D75" s="2" t="s">
        <v>39</v>
      </c>
      <c r="E75" s="2" t="s">
        <v>40</v>
      </c>
      <c r="F75" s="12" t="s">
        <v>74</v>
      </c>
      <c r="G75" s="12" t="s">
        <v>153</v>
      </c>
      <c r="H75" s="13">
        <v>3</v>
      </c>
      <c r="I75" s="13"/>
      <c r="J75" s="2" t="s">
        <v>43</v>
      </c>
      <c r="K75" s="11">
        <v>46302.481943999999</v>
      </c>
    </row>
    <row r="76" spans="1:11">
      <c r="A76" s="10">
        <v>4174</v>
      </c>
      <c r="B76" s="2" t="s">
        <v>80</v>
      </c>
      <c r="C76" s="2" t="s">
        <v>158</v>
      </c>
      <c r="D76" s="2" t="s">
        <v>39</v>
      </c>
      <c r="E76" s="2" t="s">
        <v>40</v>
      </c>
      <c r="F76" s="12" t="s">
        <v>74</v>
      </c>
      <c r="G76" s="12" t="s">
        <v>153</v>
      </c>
      <c r="H76" s="13">
        <v>5</v>
      </c>
      <c r="I76" s="13"/>
      <c r="J76" s="2" t="s">
        <v>43</v>
      </c>
      <c r="K76" s="11">
        <v>46303.535416999999</v>
      </c>
    </row>
    <row r="77" spans="1:11">
      <c r="A77" s="10">
        <v>4175</v>
      </c>
      <c r="B77" s="2" t="s">
        <v>80</v>
      </c>
      <c r="C77" s="2" t="s">
        <v>159</v>
      </c>
      <c r="D77" s="2" t="s">
        <v>45</v>
      </c>
      <c r="E77" s="2" t="s">
        <v>46</v>
      </c>
      <c r="F77" s="12" t="s">
        <v>74</v>
      </c>
      <c r="G77" s="12" t="s">
        <v>153</v>
      </c>
      <c r="H77" s="13">
        <v>8</v>
      </c>
      <c r="I77" s="13"/>
      <c r="J77" s="2" t="s">
        <v>119</v>
      </c>
      <c r="K77" s="11">
        <v>46304.547222000001</v>
      </c>
    </row>
    <row r="78" spans="1:11">
      <c r="A78" s="10">
        <v>4176</v>
      </c>
      <c r="B78" s="2" t="s">
        <v>80</v>
      </c>
      <c r="C78" s="2" t="s">
        <v>160</v>
      </c>
      <c r="D78" s="2" t="s">
        <v>45</v>
      </c>
      <c r="E78" s="2" t="s">
        <v>46</v>
      </c>
      <c r="F78" s="12" t="s">
        <v>74</v>
      </c>
      <c r="G78" s="12" t="s">
        <v>153</v>
      </c>
      <c r="H78" s="13">
        <v>5</v>
      </c>
      <c r="I78" s="13"/>
      <c r="J78" s="2" t="s">
        <v>119</v>
      </c>
      <c r="K78" s="11">
        <v>46305.600694000001</v>
      </c>
    </row>
    <row r="79" spans="1:11">
      <c r="A79" s="10">
        <v>4177</v>
      </c>
      <c r="B79" s="2" t="s">
        <v>80</v>
      </c>
      <c r="C79" s="2" t="s">
        <v>161</v>
      </c>
      <c r="D79" s="2" t="s">
        <v>45</v>
      </c>
      <c r="E79" s="2" t="s">
        <v>46</v>
      </c>
      <c r="F79" s="12" t="s">
        <v>74</v>
      </c>
      <c r="G79" s="12" t="s">
        <v>153</v>
      </c>
      <c r="H79" s="13">
        <v>3</v>
      </c>
      <c r="I79" s="13"/>
      <c r="J79" s="2" t="s">
        <v>134</v>
      </c>
      <c r="K79" s="11">
        <v>46306.654167000001</v>
      </c>
    </row>
    <row r="80" spans="1:11">
      <c r="A80" s="10">
        <v>4178</v>
      </c>
      <c r="B80" s="2" t="s">
        <v>80</v>
      </c>
      <c r="C80" s="2" t="s">
        <v>162</v>
      </c>
      <c r="D80" s="2" t="s">
        <v>49</v>
      </c>
      <c r="E80" s="2" t="s">
        <v>50</v>
      </c>
      <c r="F80" s="12" t="s">
        <v>74</v>
      </c>
      <c r="G80" s="12" t="s">
        <v>153</v>
      </c>
      <c r="H80" s="13">
        <v>13</v>
      </c>
      <c r="I80" s="13"/>
      <c r="J80" s="2" t="s">
        <v>163</v>
      </c>
      <c r="K80" s="11">
        <v>46307.707639</v>
      </c>
    </row>
    <row r="81" spans="1:11">
      <c r="A81" s="10">
        <v>4179</v>
      </c>
      <c r="B81" s="2" t="s">
        <v>80</v>
      </c>
      <c r="C81" s="2" t="s">
        <v>164</v>
      </c>
      <c r="D81" s="2" t="s">
        <v>49</v>
      </c>
      <c r="E81" s="2" t="s">
        <v>50</v>
      </c>
      <c r="F81" s="12" t="s">
        <v>74</v>
      </c>
      <c r="G81" s="12" t="s">
        <v>153</v>
      </c>
      <c r="H81" s="13">
        <v>3</v>
      </c>
      <c r="I81" s="13"/>
      <c r="J81" s="2" t="s">
        <v>51</v>
      </c>
      <c r="K81" s="11">
        <v>46308.386111</v>
      </c>
    </row>
    <row r="82" spans="1:11">
      <c r="A82" s="10">
        <v>4180</v>
      </c>
      <c r="B82" s="2" t="s">
        <v>80</v>
      </c>
      <c r="C82" s="2" t="s">
        <v>165</v>
      </c>
      <c r="D82" s="2" t="s">
        <v>49</v>
      </c>
      <c r="E82" s="2" t="s">
        <v>50</v>
      </c>
      <c r="F82" s="12" t="s">
        <v>74</v>
      </c>
      <c r="G82" s="12" t="s">
        <v>153</v>
      </c>
      <c r="H82" s="13">
        <v>5</v>
      </c>
      <c r="I82" s="13"/>
      <c r="J82" s="2" t="s">
        <v>51</v>
      </c>
      <c r="K82" s="11">
        <v>46309.439582999999</v>
      </c>
    </row>
    <row r="83" spans="1:11">
      <c r="A83" s="10">
        <v>4181</v>
      </c>
      <c r="B83" s="2" t="s">
        <v>80</v>
      </c>
      <c r="C83" s="2" t="s">
        <v>166</v>
      </c>
      <c r="D83" s="2" t="s">
        <v>53</v>
      </c>
      <c r="E83" s="2" t="s">
        <v>54</v>
      </c>
      <c r="F83" s="12" t="s">
        <v>74</v>
      </c>
      <c r="G83" s="12" t="s">
        <v>153</v>
      </c>
      <c r="H83" s="13">
        <v>5</v>
      </c>
      <c r="I83" s="13"/>
      <c r="J83" s="2" t="s">
        <v>167</v>
      </c>
      <c r="K83" s="11">
        <v>46310.493055999999</v>
      </c>
    </row>
    <row r="84" spans="1:11">
      <c r="A84" s="10">
        <v>4182</v>
      </c>
      <c r="B84" s="2" t="s">
        <v>80</v>
      </c>
      <c r="C84" s="2" t="s">
        <v>168</v>
      </c>
      <c r="D84" s="2" t="s">
        <v>53</v>
      </c>
      <c r="E84" s="2" t="s">
        <v>54</v>
      </c>
      <c r="F84" s="12" t="s">
        <v>74</v>
      </c>
      <c r="G84" s="12" t="s">
        <v>153</v>
      </c>
      <c r="H84" s="13">
        <v>5</v>
      </c>
      <c r="I84" s="13"/>
      <c r="J84" s="2" t="s">
        <v>129</v>
      </c>
      <c r="K84" s="11">
        <v>46311.504861000001</v>
      </c>
    </row>
    <row r="85" spans="1:11">
      <c r="A85" s="10">
        <v>4183</v>
      </c>
      <c r="B85" s="2" t="s">
        <v>80</v>
      </c>
      <c r="C85" s="2" t="s">
        <v>169</v>
      </c>
      <c r="D85" s="2" t="s">
        <v>53</v>
      </c>
      <c r="E85" s="2" t="s">
        <v>54</v>
      </c>
      <c r="F85" s="12" t="s">
        <v>74</v>
      </c>
      <c r="G85" s="12" t="s">
        <v>153</v>
      </c>
      <c r="H85" s="13">
        <v>3</v>
      </c>
      <c r="I85" s="13"/>
      <c r="J85" s="2" t="s">
        <v>170</v>
      </c>
      <c r="K85" s="11">
        <v>46300.558333000001</v>
      </c>
    </row>
    <row r="86" spans="1:11">
      <c r="A86" s="10">
        <v>4184</v>
      </c>
      <c r="B86" s="2" t="s">
        <v>80</v>
      </c>
      <c r="C86" s="2" t="s">
        <v>171</v>
      </c>
      <c r="D86" s="2" t="s">
        <v>57</v>
      </c>
      <c r="E86" s="2" t="s">
        <v>58</v>
      </c>
      <c r="F86" s="12" t="s">
        <v>74</v>
      </c>
      <c r="G86" s="12" t="s">
        <v>153</v>
      </c>
      <c r="H86" s="13">
        <v>8</v>
      </c>
      <c r="I86" s="13"/>
      <c r="J86" s="2" t="s">
        <v>172</v>
      </c>
      <c r="K86" s="11">
        <v>46301.611806000001</v>
      </c>
    </row>
    <row r="87" spans="1:11">
      <c r="A87" s="10">
        <v>4185</v>
      </c>
      <c r="B87" s="2" t="s">
        <v>80</v>
      </c>
      <c r="C87" s="2" t="s">
        <v>173</v>
      </c>
      <c r="D87" s="2" t="s">
        <v>57</v>
      </c>
      <c r="E87" s="2" t="s">
        <v>58</v>
      </c>
      <c r="F87" s="12" t="s">
        <v>74</v>
      </c>
      <c r="G87" s="12" t="s">
        <v>153</v>
      </c>
      <c r="H87" s="13">
        <v>3</v>
      </c>
      <c r="I87" s="13"/>
      <c r="J87" s="2" t="s">
        <v>59</v>
      </c>
      <c r="K87" s="11">
        <v>46302.665278</v>
      </c>
    </row>
    <row r="88" spans="1:11">
      <c r="A88" s="10">
        <v>4186</v>
      </c>
      <c r="B88" s="2" t="s">
        <v>86</v>
      </c>
      <c r="C88" s="2" t="s">
        <v>174</v>
      </c>
      <c r="D88" s="2" t="s">
        <v>57</v>
      </c>
      <c r="E88" s="2" t="s">
        <v>58</v>
      </c>
      <c r="F88" s="12" t="s">
        <v>74</v>
      </c>
      <c r="G88" s="12" t="s">
        <v>153</v>
      </c>
      <c r="H88" s="13"/>
      <c r="I88" s="13">
        <v>8</v>
      </c>
      <c r="J88" s="2" t="s">
        <v>59</v>
      </c>
      <c r="K88" s="11">
        <v>46303.677083000002</v>
      </c>
    </row>
    <row r="89" spans="1:11">
      <c r="A89" s="10">
        <v>4187</v>
      </c>
      <c r="B89" s="2" t="s">
        <v>80</v>
      </c>
      <c r="C89" s="2" t="s">
        <v>175</v>
      </c>
      <c r="D89" s="2" t="s">
        <v>61</v>
      </c>
      <c r="E89" s="2" t="s">
        <v>62</v>
      </c>
      <c r="F89" s="12" t="s">
        <v>74</v>
      </c>
      <c r="G89" s="12" t="s">
        <v>153</v>
      </c>
      <c r="H89" s="13">
        <v>3</v>
      </c>
      <c r="I89" s="13"/>
      <c r="J89" s="2" t="s">
        <v>132</v>
      </c>
      <c r="K89" s="11">
        <v>46304.397222</v>
      </c>
    </row>
    <row r="90" spans="1:11">
      <c r="A90" s="10">
        <v>4188</v>
      </c>
      <c r="B90" s="2" t="s">
        <v>80</v>
      </c>
      <c r="C90" s="2" t="s">
        <v>176</v>
      </c>
      <c r="D90" s="2" t="s">
        <v>61</v>
      </c>
      <c r="E90" s="2" t="s">
        <v>62</v>
      </c>
      <c r="F90" s="12" t="s">
        <v>74</v>
      </c>
      <c r="G90" s="12" t="s">
        <v>153</v>
      </c>
      <c r="H90" s="13">
        <v>2</v>
      </c>
      <c r="I90" s="13"/>
      <c r="J90" s="2" t="s">
        <v>139</v>
      </c>
      <c r="K90" s="11">
        <v>46305.450693999999</v>
      </c>
    </row>
    <row r="91" spans="1:11">
      <c r="A91" s="10">
        <v>4189</v>
      </c>
      <c r="B91" s="2" t="s">
        <v>90</v>
      </c>
      <c r="C91" s="2" t="s">
        <v>177</v>
      </c>
      <c r="D91" s="2" t="s">
        <v>49</v>
      </c>
      <c r="E91" s="2" t="s">
        <v>50</v>
      </c>
      <c r="F91" s="12" t="s">
        <v>74</v>
      </c>
      <c r="G91" s="12" t="s">
        <v>153</v>
      </c>
      <c r="H91" s="13">
        <v>2</v>
      </c>
      <c r="I91" s="13"/>
      <c r="J91" s="2" t="s">
        <v>51</v>
      </c>
      <c r="K91" s="11">
        <v>46306.462500000001</v>
      </c>
    </row>
    <row r="92" spans="1:11">
      <c r="A92" s="10">
        <v>4190</v>
      </c>
      <c r="B92" s="2" t="s">
        <v>86</v>
      </c>
      <c r="C92" s="2" t="s">
        <v>178</v>
      </c>
      <c r="D92" s="2" t="s">
        <v>39</v>
      </c>
      <c r="E92" s="2" t="s">
        <v>107</v>
      </c>
      <c r="F92" s="12" t="s">
        <v>74</v>
      </c>
      <c r="G92" s="12" t="s">
        <v>153</v>
      </c>
      <c r="H92" s="13"/>
      <c r="I92" s="13">
        <v>8</v>
      </c>
      <c r="J92" s="2" t="s">
        <v>43</v>
      </c>
      <c r="K92" s="11">
        <v>46307.515972000001</v>
      </c>
    </row>
  </sheetData>
  <mergeCells count="1">
    <mergeCell ref="A1:K1"/>
  </mergeCells>
  <conditionalFormatting sqref="F3:F92">
    <cfRule type="containsText" dxfId="13" priority="1" operator="containsText" text="Blocked">
      <formula>NOT(ISERROR(SEARCH("Blocked",F3)))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EC10-8808-42C6-B2AE-21A448E2BE86}">
  <dimension ref="A1:L10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42.7109375" customWidth="1"/>
    <col min="2" max="12" width="13.7109375" customWidth="1"/>
  </cols>
  <sheetData>
    <row r="1" spans="1:12" ht="18.75">
      <c r="A1" s="28" t="s">
        <v>179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32.25" customHeight="1">
      <c r="A2" s="14" t="s">
        <v>32</v>
      </c>
      <c r="B2" s="14" t="s">
        <v>180</v>
      </c>
      <c r="C2" s="14" t="s">
        <v>181</v>
      </c>
      <c r="D2" s="14" t="s">
        <v>182</v>
      </c>
      <c r="E2" s="14" t="s">
        <v>183</v>
      </c>
      <c r="F2" s="14" t="s">
        <v>184</v>
      </c>
      <c r="G2" s="14" t="s">
        <v>185</v>
      </c>
      <c r="H2" s="14" t="s">
        <v>186</v>
      </c>
      <c r="I2" s="14" t="s">
        <v>187</v>
      </c>
      <c r="J2" s="14" t="s">
        <v>188</v>
      </c>
      <c r="K2" s="14" t="s">
        <v>189</v>
      </c>
      <c r="L2" s="14" t="s">
        <v>190</v>
      </c>
    </row>
    <row r="3" spans="1:12">
      <c r="A3" s="1" t="s">
        <v>83</v>
      </c>
      <c r="B3" s="16">
        <f>COUNTIFS(Backlog!$G$3:$G$92,$A3)</f>
        <v>22</v>
      </c>
      <c r="C3" s="16">
        <f>SUMIFS(Backlog!$H$3:$H$92,Backlog!$G$3:$G$92,$A3)</f>
        <v>70</v>
      </c>
      <c r="D3" s="16">
        <f>SUMIFS(Backlog!$H$3:$H$92,Backlog!$G$3:$G$92,$A3,Backlog!$F$3:$F$92,"New")</f>
        <v>0</v>
      </c>
      <c r="E3" s="16">
        <f>SUMIFS(Backlog!$H$3:$H$92,Backlog!$G$3:$G$92,$A3,Backlog!$F$3:$F$92,"Active")</f>
        <v>0</v>
      </c>
      <c r="F3" s="16">
        <f>SUMIFS(Backlog!$H$3:$H$92,Backlog!$G$3:$G$92,$A3,Backlog!$F$3:$F$92,"Resolved")</f>
        <v>5</v>
      </c>
      <c r="G3" s="16">
        <f>SUMIFS(Backlog!$H$3:$H$92,Backlog!$G$3:$G$92,$A3,Backlog!$F$3:$F$92,"Closed")</f>
        <v>65</v>
      </c>
      <c r="H3" s="16">
        <f>SUMIFS(Backlog!$H$3:$H$92,Backlog!$G$3:$G$92,$A3,Backlog!$F$3:$F$92,"Blocked")</f>
        <v>0</v>
      </c>
      <c r="I3" s="16">
        <f>F3+G3</f>
        <v>70</v>
      </c>
      <c r="J3" s="18">
        <f>IF(C3=0,0,I3/C3)</f>
        <v>1</v>
      </c>
      <c r="K3" s="16">
        <f>COUNTIFS(Backlog!$G$3:$G$92,$A3,Backlog!$F$3:$F$92,"Blocked")</f>
        <v>0</v>
      </c>
      <c r="L3" s="16">
        <f>SUMIFS(Backlog!$I$3:$I$92,Backlog!$G$3:$G$92,$A3)</f>
        <v>0</v>
      </c>
    </row>
    <row r="4" spans="1:12">
      <c r="A4" s="15" t="s">
        <v>110</v>
      </c>
      <c r="B4" s="17">
        <f>COUNTIFS(Backlog!$G$3:$G$92,$A4)</f>
        <v>28</v>
      </c>
      <c r="C4" s="17">
        <f>SUMIFS(Backlog!$H$3:$H$92,Backlog!$G$3:$G$92,$A4)</f>
        <v>100</v>
      </c>
      <c r="D4" s="17">
        <f>SUMIFS(Backlog!$H$3:$H$92,Backlog!$G$3:$G$92,$A4,Backlog!$F$3:$F$92,"New")</f>
        <v>6</v>
      </c>
      <c r="E4" s="17">
        <f>SUMIFS(Backlog!$H$3:$H$92,Backlog!$G$3:$G$92,$A4,Backlog!$F$3:$F$92,"Active")</f>
        <v>6</v>
      </c>
      <c r="F4" s="17">
        <f>SUMIFS(Backlog!$H$3:$H$92,Backlog!$G$3:$G$92,$A4,Backlog!$F$3:$F$92,"Resolved")</f>
        <v>13</v>
      </c>
      <c r="G4" s="17">
        <f>SUMIFS(Backlog!$H$3:$H$92,Backlog!$G$3:$G$92,$A4,Backlog!$F$3:$F$92,"Closed")</f>
        <v>57</v>
      </c>
      <c r="H4" s="17">
        <f>SUMIFS(Backlog!$H$3:$H$92,Backlog!$G$3:$G$92,$A4,Backlog!$F$3:$F$92,"Blocked")</f>
        <v>18</v>
      </c>
      <c r="I4" s="17">
        <f>F4+G4</f>
        <v>70</v>
      </c>
      <c r="J4" s="19">
        <f>IF(C4=0,0,I4/C4)</f>
        <v>0.7</v>
      </c>
      <c r="K4" s="17">
        <f>COUNTIFS(Backlog!$G$3:$G$92,$A4,Backlog!$F$3:$F$92,"Blocked")</f>
        <v>6</v>
      </c>
      <c r="L4" s="17">
        <f>SUMIFS(Backlog!$I$3:$I$92,Backlog!$G$3:$G$92,$A4)</f>
        <v>38</v>
      </c>
    </row>
    <row r="5" spans="1:12">
      <c r="A5" s="1" t="s">
        <v>153</v>
      </c>
      <c r="B5" s="16">
        <f>COUNTIFS(Backlog!$G$3:$G$92,$A5)</f>
        <v>20</v>
      </c>
      <c r="C5" s="16">
        <f>SUMIFS(Backlog!$H$3:$H$92,Backlog!$G$3:$G$92,$A5)</f>
        <v>89</v>
      </c>
      <c r="D5" s="16">
        <f>SUMIFS(Backlog!$H$3:$H$92,Backlog!$G$3:$G$92,$A5,Backlog!$F$3:$F$92,"New")</f>
        <v>89</v>
      </c>
      <c r="E5" s="16">
        <f>SUMIFS(Backlog!$H$3:$H$92,Backlog!$G$3:$G$92,$A5,Backlog!$F$3:$F$92,"Active")</f>
        <v>0</v>
      </c>
      <c r="F5" s="16">
        <f>SUMIFS(Backlog!$H$3:$H$92,Backlog!$G$3:$G$92,$A5,Backlog!$F$3:$F$92,"Resolved")</f>
        <v>0</v>
      </c>
      <c r="G5" s="16">
        <f>SUMIFS(Backlog!$H$3:$H$92,Backlog!$G$3:$G$92,$A5,Backlog!$F$3:$F$92,"Closed")</f>
        <v>0</v>
      </c>
      <c r="H5" s="16">
        <f>SUMIFS(Backlog!$H$3:$H$92,Backlog!$G$3:$G$92,$A5,Backlog!$F$3:$F$92,"Blocked")</f>
        <v>0</v>
      </c>
      <c r="I5" s="16">
        <f>F5+G5</f>
        <v>0</v>
      </c>
      <c r="J5" s="18">
        <f>IF(C5=0,0,I5/C5)</f>
        <v>0</v>
      </c>
      <c r="K5" s="16">
        <f>COUNTIFS(Backlog!$G$3:$G$92,$A5,Backlog!$F$3:$F$92,"Blocked")</f>
        <v>0</v>
      </c>
      <c r="L5" s="16">
        <f>SUMIFS(Backlog!$I$3:$I$92,Backlog!$G$3:$G$92,$A5)</f>
        <v>16</v>
      </c>
    </row>
    <row r="6" spans="1:12">
      <c r="A6" s="21" t="s">
        <v>191</v>
      </c>
      <c r="B6" s="22">
        <f>SUM(B3:B5)</f>
        <v>70</v>
      </c>
      <c r="C6" s="22">
        <f>SUM(C3:C5)</f>
        <v>259</v>
      </c>
      <c r="D6" s="22">
        <f>SUM(D3:D5)</f>
        <v>95</v>
      </c>
      <c r="E6" s="22">
        <f>SUM(E3:E5)</f>
        <v>6</v>
      </c>
      <c r="F6" s="22">
        <f>SUM(F3:F5)</f>
        <v>18</v>
      </c>
      <c r="G6" s="22">
        <f>SUM(G3:G5)</f>
        <v>122</v>
      </c>
      <c r="H6" s="22">
        <f>SUM(H3:H5)</f>
        <v>18</v>
      </c>
      <c r="I6" s="22">
        <f>SUM(I3:I5)</f>
        <v>140</v>
      </c>
      <c r="J6" s="23">
        <f>IF(C6=0,0,I6/C6)</f>
        <v>0.54054054054054057</v>
      </c>
      <c r="K6" s="22">
        <f>SUM(K3:K5)</f>
        <v>6</v>
      </c>
      <c r="L6" s="22">
        <f>SUM(L3:L5)</f>
        <v>54</v>
      </c>
    </row>
    <row r="7" spans="1:12">
      <c r="A7" s="1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>
      <c r="A8" s="24" t="s">
        <v>192</v>
      </c>
      <c r="B8" s="16">
        <f>COUNTIFS(Backlog!$F$3:$F$92,"Blocked",Backlog!$J$3:$J$92,"*CargoWise*")</f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>
      <c r="A9" s="24" t="s">
        <v>193</v>
      </c>
      <c r="B9" s="20">
        <v>46318</v>
      </c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2">
      <c r="A10" s="24" t="s">
        <v>194</v>
      </c>
      <c r="B10" s="16">
        <f>COUNTA(Backlog!$A$3:$A$92)</f>
        <v>90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</row>
  </sheetData>
  <mergeCells count="1">
    <mergeCell ref="A1:L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i:0#.f|membership|loretteroos@microsoft.com</cp:lastModifiedBy>
  <cp:revision/>
  <dcterms:created xsi:type="dcterms:W3CDTF">2026-10-19T04:55:16Z</dcterms:created>
  <dcterms:modified xsi:type="dcterms:W3CDTF">2026-10-21T09:30:56Z</dcterms:modified>
  <cp:category/>
  <cp:contentStatus/>
</cp:coreProperties>
</file>