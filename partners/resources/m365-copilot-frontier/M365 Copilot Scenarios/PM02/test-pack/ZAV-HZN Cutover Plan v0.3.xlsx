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microsofteur-my.sharepoint.com/personal/loretteroos_microsoft_com/Documents/Documents/Cowork/Tasks/create-copilot-presentation-deck-for-2026-10-05/output/Frontier Test Pack/"/>
    </mc:Choice>
  </mc:AlternateContent>
  <xr:revisionPtr revIDLastSave="50" documentId="13_ncr:101_{44DEC71F-E952-40EF-A432-8514D3668806}" xr6:coauthVersionLast="47" xr6:coauthVersionMax="47" xr10:uidLastSave="{7FF36CA9-BC0A-49AB-92AA-57E3B3241136}"/>
  <bookViews>
    <workbookView xWindow="-23150" yWindow="-110" windowWidth="23260" windowHeight="14860" xr2:uid="{00000000-000D-0000-FFFF-FFFF00000000}"/>
  </bookViews>
  <sheets>
    <sheet name="Read me" sheetId="1" r:id="rId1"/>
    <sheet name="Runbook" sheetId="2" r:id="rId2"/>
    <sheet name="Phase summary" sheetId="3" r:id="rId3"/>
  </sheets>
  <definedNames>
    <definedName name="AsOfDate">'Read me'!$B$7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F3" i="3"/>
  <c r="E3" i="3"/>
  <c r="D3" i="3"/>
  <c r="C3" i="3"/>
  <c r="B3" i="3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<sst xmlns="http://schemas.openxmlformats.org/spreadsheetml/2006/main" count="951" uniqueCount="428">
  <si>
    <t>ZAV-HZN Cutover Plan v0.3</t>
  </si>
  <si>
    <t>Fictitious test data – Copilot for Frontier Consultancy scenario testing</t>
  </si>
  <si>
    <t>Purpose</t>
  </si>
  <si>
    <t>Draft cutover runbook (v0.3) for the Zava Horizon go-live: D365 Finance + Supply Chain (F&amp;O) and D365 Sales / Customer Service (CE). Cutover weekend Fri 26 Feb – Sun 28 Feb 2027, go-live Mon 1 Mar 2027. Use for testing runbook review, dependency checking, critical path, Go/No-Go preparation and owner briefings.</t>
  </si>
  <si>
    <t>Programme</t>
  </si>
  <si>
    <t>Zava Horizon (ZAV-HZN) – Zava LLC, delivered by Frontier Consulting</t>
  </si>
  <si>
    <t>Data as of</t>
  </si>
  <si>
    <t>Monday 19 Oct 2026 (Dubai, UTC+4)</t>
  </si>
  <si>
    <t>As-of date (used in formulas)</t>
  </si>
  <si>
    <t>Currency</t>
  </si>
  <si>
    <t>AED</t>
  </si>
  <si>
    <t>Prepared by</t>
  </si>
  <si>
    <t>Priya Nair, Project Manager (Frontier Consulting) – scenario owner Lorette Roos</t>
  </si>
  <si>
    <t>Sheet</t>
  </si>
  <si>
    <t>Contents</t>
  </si>
  <si>
    <t>Runbook</t>
  </si>
  <si>
    <t>112 tasks across Pre-cutover (T-14 to T-1), Freeze, Data migration, Technical, Business validation, three Go/No-Go gates, Go-live and Hypercare day 1. Planned end = planned start + duration.</t>
  </si>
  <si>
    <t>Phase summary</t>
  </si>
  <si>
    <t>Task counts, earliest start, latest finish and total hours by phase (formulas).</t>
  </si>
  <si>
    <t>Version</t>
  </si>
  <si>
    <t>v0.3 DRAFT – for review at design authority; not yet baselined. Times are Gulf Standard Time (UTC+4).</t>
  </si>
  <si>
    <t>Go/No-Go gates</t>
  </si>
  <si>
    <t>Gate 1 Fri 26 Feb (start data migration) | Gate 2 Sat 27 Feb (start business validation) | Gate 3 Sun 28 Feb 16:00 (final Go/No-Go)</t>
  </si>
  <si>
    <t>Important</t>
  </si>
  <si>
    <t>Fictitious test data – Copilot for Frontier Consultancy scenario testing. All companies, people and figures are fictitious and must not be used for real decisions.</t>
  </si>
  <si>
    <t>ZAV-HZN Cutover Plan v0.3 (DRAFT)   |   Fictitious test data – Copilot for Frontier Consultancy scenario testing</t>
  </si>
  <si>
    <t>Task ID</t>
  </si>
  <si>
    <t>Phase</t>
  </si>
  <si>
    <t>Task</t>
  </si>
  <si>
    <t>Planned start</t>
  </si>
  <si>
    <t>Planned end</t>
  </si>
  <si>
    <t>Duration (h)</t>
  </si>
  <si>
    <t>Predecessor IDs</t>
  </si>
  <si>
    <t>Owner</t>
  </si>
  <si>
    <t>Team</t>
  </si>
  <si>
    <t>Status</t>
  </si>
  <si>
    <t>Evidence required</t>
  </si>
  <si>
    <t>Comments</t>
  </si>
  <si>
    <t>CUT-001</t>
  </si>
  <si>
    <t>Pre-cutover (T-14 to T-1)</t>
  </si>
  <si>
    <t>Cutover plan v1.0 baselined and circulated</t>
  </si>
  <si>
    <t>Priya Nair</t>
  </si>
  <si>
    <t>PMO</t>
  </si>
  <si>
    <t>In planning</t>
  </si>
  <si>
    <t>Signed cutover plan</t>
  </si>
  <si>
    <t>T-14</t>
  </si>
  <si>
    <t>CUT-002</t>
  </si>
  <si>
    <t>Confirm cutover roles, rota and contact list</t>
  </si>
  <si>
    <t>Contact list in Teams channel</t>
  </si>
  <si>
    <t>CUT-003</t>
  </si>
  <si>
    <t>Production environment deployed with final release package</t>
  </si>
  <si>
    <t>Arjun Mehta</t>
  </si>
  <si>
    <t>Frontier – Integration</t>
  </si>
  <si>
    <t>LCS/PPAC deployment log</t>
  </si>
  <si>
    <t>CUT-004</t>
  </si>
  <si>
    <t>CE production solutions imported (managed)</t>
  </si>
  <si>
    <t>Frontier – CE</t>
  </si>
  <si>
    <t>Solution import history</t>
  </si>
  <si>
    <t>CUT-005</t>
  </si>
  <si>
    <t>Security roles and user access provisioned in F&amp;O and CE</t>
  </si>
  <si>
    <t>Ravi Kumar</t>
  </si>
  <si>
    <t>Zava IT</t>
  </si>
  <si>
    <t>Not started</t>
  </si>
  <si>
    <t>User access report</t>
  </si>
  <si>
    <t>CUT-006</t>
  </si>
  <si>
    <t>Final mock cutover (Mock 3) results signed off</t>
  </si>
  <si>
    <t>Noura Al Hashimi</t>
  </si>
  <si>
    <t>Frontier – Data</t>
  </si>
  <si>
    <t>Mock 3 reconciliation pack</t>
  </si>
  <si>
    <t>Mock 3 ran 6–7 Feb</t>
  </si>
  <si>
    <t>CUT-007</t>
  </si>
  <si>
    <t>Static master data loaded to production (COA, dimensions, posting profiles)</t>
  </si>
  <si>
    <t>CUT-003, CUT-006</t>
  </si>
  <si>
    <t>Load log and record counts</t>
  </si>
  <si>
    <t>CUT-008</t>
  </si>
  <si>
    <t>Vendor master (de-duplicated) loaded to production</t>
  </si>
  <si>
    <t>Dedup report and load log</t>
  </si>
  <si>
    <t>CUT-009</t>
  </si>
  <si>
    <t>Customer master loaded to production</t>
  </si>
  <si>
    <t>Load log</t>
  </si>
  <si>
    <t>CUT-010</t>
  </si>
  <si>
    <t>Vendor and customer master sign-off by Group Financial Controller</t>
  </si>
  <si>
    <t>Hassan Ali</t>
  </si>
  <si>
    <t>Zava Finance</t>
  </si>
  <si>
    <t>Signed master data sign-off</t>
  </si>
  <si>
    <t>CUT-011</t>
  </si>
  <si>
    <t>Fixed asset register loaded and reconciled</t>
  </si>
  <si>
    <t>James Okafor</t>
  </si>
  <si>
    <t>Frontier – Finance</t>
  </si>
  <si>
    <t>FA reconciliation</t>
  </si>
  <si>
    <t>CUT-012</t>
  </si>
  <si>
    <t>Warehouse locations, zones and license plates set up</t>
  </si>
  <si>
    <t>Rahul Verma</t>
  </si>
  <si>
    <t>Frontier – Supply Chain</t>
  </si>
  <si>
    <t>Location count report</t>
  </si>
  <si>
    <t>CUT-013</t>
  </si>
  <si>
    <t>Warehouse mobile devices configured and tested on production</t>
  </si>
  <si>
    <t>Grace Lee</t>
  </si>
  <si>
    <t>Zava Warehouse</t>
  </si>
  <si>
    <t>Device test checklist</t>
  </si>
  <si>
    <t>CUT-014</t>
  </si>
  <si>
    <t>Trade agreements and freight rate cards loaded</t>
  </si>
  <si>
    <t>Lina Mansour</t>
  </si>
  <si>
    <t>Rate card comparison</t>
  </si>
  <si>
    <t>CUT-015</t>
  </si>
  <si>
    <t>CargoWise production connection tested (read-only)</t>
  </si>
  <si>
    <t>Connection test log</t>
  </si>
  <si>
    <t>CUT-016</t>
  </si>
  <si>
    <t>ZATCA e-invoicing ISV production onboarding for ZVSA</t>
  </si>
  <si>
    <t>ZATCA onboarding certificate (CSID)</t>
  </si>
  <si>
    <t>CUT-017</t>
  </si>
  <si>
    <t>Bank integration production certificates installed (UAE, KSA, Oman)</t>
  </si>
  <si>
    <t>Certificate install log</t>
  </si>
  <si>
    <t>CUT-018</t>
  </si>
  <si>
    <t>Batch jobs created (disabled) and schedule documented</t>
  </si>
  <si>
    <t>Batch job list</t>
  </si>
  <si>
    <t>CUT-019</t>
  </si>
  <si>
    <t>Printer and label configuration for warehouse documents</t>
  </si>
  <si>
    <t>Test print evidence</t>
  </si>
  <si>
    <t>CUT-020</t>
  </si>
  <si>
    <t>End-user training completion confirmed (&gt;= 90%)</t>
  </si>
  <si>
    <t>Tom Becker</t>
  </si>
  <si>
    <t>Frontier – Change</t>
  </si>
  <si>
    <t>Training completion report</t>
  </si>
  <si>
    <t>CUT-021</t>
  </si>
  <si>
    <t>Go-live communications issued to staff and customers</t>
  </si>
  <si>
    <t>Elena Petrova</t>
  </si>
  <si>
    <t>Zava HR &amp; Change</t>
  </si>
  <si>
    <t>Comms email and intranet post</t>
  </si>
  <si>
    <t>CUT-022</t>
  </si>
  <si>
    <t>Legacy GP 2018 and Tally period-end close completed (Jan 2027)</t>
  </si>
  <si>
    <t>Close checklist</t>
  </si>
  <si>
    <t>CUT-023</t>
  </si>
  <si>
    <t>Hypercare support model and ticket queues ready</t>
  </si>
  <si>
    <t>Hypercare runbook</t>
  </si>
  <si>
    <t>CUT-024</t>
  </si>
  <si>
    <t>Cutover rehearsal walkthrough (table-top)</t>
  </si>
  <si>
    <t>Attendance and actions</t>
  </si>
  <si>
    <t>CUT-025</t>
  </si>
  <si>
    <t>Open items extract scripts validated against Mock 3</t>
  </si>
  <si>
    <t>Script sign-off</t>
  </si>
  <si>
    <t>CUT-026</t>
  </si>
  <si>
    <t>Customer and vendor notification of new bank details/invoice format</t>
  </si>
  <si>
    <t>Samir Haddad</t>
  </si>
  <si>
    <t>Zava Customer Service</t>
  </si>
  <si>
    <t>Notification log</t>
  </si>
  <si>
    <t>CUT-027</t>
  </si>
  <si>
    <t>Readiness checkpoint with sponsor (T-2)</t>
  </si>
  <si>
    <t>CUT-024, CUT-025</t>
  </si>
  <si>
    <t>Nadia Farouk</t>
  </si>
  <si>
    <t>Zava Sponsor</t>
  </si>
  <si>
    <t>Readiness checklist</t>
  </si>
  <si>
    <t>T-2</t>
  </si>
  <si>
    <t>CUT-028</t>
  </si>
  <si>
    <t>Final backup of legacy systems scheduled</t>
  </si>
  <si>
    <t>Backup schedule</t>
  </si>
  <si>
    <t>CUT-029</t>
  </si>
  <si>
    <t>Freeze</t>
  </si>
  <si>
    <t>Freeze new sales quotes and orders in Salesforce / legacy</t>
  </si>
  <si>
    <t>Freeze confirmation email</t>
  </si>
  <si>
    <t>CUT-030</t>
  </si>
  <si>
    <t>Freeze AP invoice entry in GP 2018 and Tally</t>
  </si>
  <si>
    <t>Freeze confirmation</t>
  </si>
  <si>
    <t>CUT-031</t>
  </si>
  <si>
    <t>Freeze AR invoicing and cash receipts in legacy</t>
  </si>
  <si>
    <t>CUT-032</t>
  </si>
  <si>
    <t>Freeze warehouse transactions in legacy WMS (stock count start)</t>
  </si>
  <si>
    <t>CUT-033</t>
  </si>
  <si>
    <t>CargoWise outbound messages paused</t>
  </si>
  <si>
    <t>Queue screenshot</t>
  </si>
  <si>
    <t>CUT-034</t>
  </si>
  <si>
    <t>Physical stock count at Jebel Ali DC</t>
  </si>
  <si>
    <t>Signed count sheets</t>
  </si>
  <si>
    <t>CUT-035</t>
  </si>
  <si>
    <t>Legacy systems set to read-only</t>
  </si>
  <si>
    <t>CUT-029, CUT-030, CUT-031</t>
  </si>
  <si>
    <t>Access change record</t>
  </si>
  <si>
    <t>CUT-036</t>
  </si>
  <si>
    <t>Final legacy backups taken</t>
  </si>
  <si>
    <t>Backup log</t>
  </si>
  <si>
    <t>CUT-037</t>
  </si>
  <si>
    <t>Closing trial balances extracted per entity (ZVAE, ZVSA, ZVOM, ZVQA, ZVHQ)</t>
  </si>
  <si>
    <t>Trial balance extracts</t>
  </si>
  <si>
    <t>CUT-038</t>
  </si>
  <si>
    <t>Freeze confirmation to cutover lead</t>
  </si>
  <si>
    <t>CUT-034, CUT-037</t>
  </si>
  <si>
    <t>Teams post in cutover channel</t>
  </si>
  <si>
    <t>CUT-039</t>
  </si>
  <si>
    <t>Gate 1 pre-read: freeze, backups and trial balances complete</t>
  </si>
  <si>
    <t>Gate 1 checklist</t>
  </si>
  <si>
    <t>CUT-040</t>
  </si>
  <si>
    <t>Gate 1 – Go/No-Go to start data migration</t>
  </si>
  <si>
    <t>Gate 1 decision recorded</t>
  </si>
  <si>
    <t>Go/No-Go gate 1</t>
  </si>
  <si>
    <t>CUT-041</t>
  </si>
  <si>
    <t>Data migration</t>
  </si>
  <si>
    <t>Open AR items extracted from legacy</t>
  </si>
  <si>
    <t>Extract log</t>
  </si>
  <si>
    <t>CUT-042</t>
  </si>
  <si>
    <t>Open AR items transformed and validated</t>
  </si>
  <si>
    <t>Validation report</t>
  </si>
  <si>
    <t>CUT-043</t>
  </si>
  <si>
    <t>Open AR items loaded to D365 Finance</t>
  </si>
  <si>
    <t>CUT-044</t>
  </si>
  <si>
    <t>Open AP items extracted from legacy</t>
  </si>
  <si>
    <t>CUT-045</t>
  </si>
  <si>
    <t>Open AP items transformed and validated</t>
  </si>
  <si>
    <t>CUT-046</t>
  </si>
  <si>
    <t>Load open AP invoices to D365 Finance</t>
  </si>
  <si>
    <t>CUT-045, CUT-048</t>
  </si>
  <si>
    <t>CUT-047</t>
  </si>
  <si>
    <t>Validate AP load counts and amounts</t>
  </si>
  <si>
    <t>Count reconciliation</t>
  </si>
  <si>
    <t>CUT-048</t>
  </si>
  <si>
    <t>Reconcile AP sub-ledger to GL</t>
  </si>
  <si>
    <t>AP reconciliation</t>
  </si>
  <si>
    <t>CUT-049</t>
  </si>
  <si>
    <t>Opening GL balances loaded per entity</t>
  </si>
  <si>
    <t>Journal posting log</t>
  </si>
  <si>
    <t>CUT-050</t>
  </si>
  <si>
    <t>Trial balance reconciliation legacy vs D365 (all entities)</t>
  </si>
  <si>
    <t>CUT-049, CUT-048</t>
  </si>
  <si>
    <t>Signed TB reconciliation</t>
  </si>
  <si>
    <t>CUT-051</t>
  </si>
  <si>
    <t>Bank balances loaded and reconciled</t>
  </si>
  <si>
    <t>Bank reconciliation</t>
  </si>
  <si>
    <t>CUT-052</t>
  </si>
  <si>
    <t>Fixed asset NBV reconciled to GL</t>
  </si>
  <si>
    <t>CUT-053</t>
  </si>
  <si>
    <t>On-hand inventory loaded from stock count</t>
  </si>
  <si>
    <t>CUT-034, CUT-040</t>
  </si>
  <si>
    <t>Inventory journal log</t>
  </si>
  <si>
    <t>CUT-054</t>
  </si>
  <si>
    <t>Inventory value reconciled to GL</t>
  </si>
  <si>
    <t>CUT-053, CUT-050</t>
  </si>
  <si>
    <t>Inventory reconciliation</t>
  </si>
  <si>
    <t>CUT-055</t>
  </si>
  <si>
    <t>Open purchase orders loaded</t>
  </si>
  <si>
    <t>CUT-056</t>
  </si>
  <si>
    <t>Open sales orders and shipments loaded</t>
  </si>
  <si>
    <t>CUT-057</t>
  </si>
  <si>
    <t>CE accounts and contacts migrated from Salesforce</t>
  </si>
  <si>
    <t>Migration log</t>
  </si>
  <si>
    <t>CUT-058</t>
  </si>
  <si>
    <t>CE open opportunities and quotes migrated</t>
  </si>
  <si>
    <t>CUT-059</t>
  </si>
  <si>
    <t>CE open cases migrated with SLA status</t>
  </si>
  <si>
    <t>CUT-060</t>
  </si>
  <si>
    <t>Dual-write / customer sync F&amp;O-CE initial sync</t>
  </si>
  <si>
    <t>CUT-057, CUT-056</t>
  </si>
  <si>
    <t>Sync status</t>
  </si>
  <si>
    <t>CUT-061</t>
  </si>
  <si>
    <t>Data migration error log reviewed and resolved</t>
  </si>
  <si>
    <t>CUT-051, CUT-052, CUT-054, CUT-060</t>
  </si>
  <si>
    <t>Error log</t>
  </si>
  <si>
    <t>CUT-062</t>
  </si>
  <si>
    <t>Data migration completion report issued</t>
  </si>
  <si>
    <t>Completion report</t>
  </si>
  <si>
    <t>CUT-063</t>
  </si>
  <si>
    <t>Technical</t>
  </si>
  <si>
    <t>Batch jobs enabled (posting, settlement, revaluation)</t>
  </si>
  <si>
    <t>Batch job status</t>
  </si>
  <si>
    <t>CUT-064</t>
  </si>
  <si>
    <t>CargoWise integration switched to production endpoints</t>
  </si>
  <si>
    <t>Endpoint config record</t>
  </si>
  <si>
    <t>CUT-065</t>
  </si>
  <si>
    <t>CargoWise test shipment message round-trip</t>
  </si>
  <si>
    <t>Message trace</t>
  </si>
  <si>
    <t>CUT-066</t>
  </si>
  <si>
    <t>Bank integration enabled and test payment file generated</t>
  </si>
  <si>
    <t>Test payment file</t>
  </si>
  <si>
    <t>CUT-067</t>
  </si>
  <si>
    <t>ZATCA e-invoicing for ZVSA – test invoice cleared</t>
  </si>
  <si>
    <t>ZATCA clearance response</t>
  </si>
  <si>
    <t>Can start in parallel with bank test</t>
  </si>
  <si>
    <t>CUT-068</t>
  </si>
  <si>
    <t>Email-to-case and queues enabled in CE</t>
  </si>
  <si>
    <t>Mailbox test</t>
  </si>
  <si>
    <t>CUT-069</t>
  </si>
  <si>
    <t>Power BI datasets refreshed against production</t>
  </si>
  <si>
    <t>Refresh history</t>
  </si>
  <si>
    <t>CUT-070</t>
  </si>
  <si>
    <t>Integration monitoring alerts enabled</t>
  </si>
  <si>
    <t>Alert test</t>
  </si>
  <si>
    <t>CUT-071</t>
  </si>
  <si>
    <t>User access smoke test (sample of 20 users)</t>
  </si>
  <si>
    <t>Access test log</t>
  </si>
  <si>
    <t>CUT-072</t>
  </si>
  <si>
    <t>Warehouse mobile app connected to production</t>
  </si>
  <si>
    <t>Device login test</t>
  </si>
  <si>
    <t>CUT-073</t>
  </si>
  <si>
    <t>Printing and label output tested</t>
  </si>
  <si>
    <t>Test labels</t>
  </si>
  <si>
    <t>CUT-074</t>
  </si>
  <si>
    <t>Technical readiness sign-off</t>
  </si>
  <si>
    <t>CUT-064, CUT-065, CUT-066, CUT-067, CUT-068, CUT-069, CUT-070, CUT-071, CUT-072, CUT-073</t>
  </si>
  <si>
    <t>Omar Khalil</t>
  </si>
  <si>
    <t>Frontier – Architecture</t>
  </si>
  <si>
    <t>Technical sign-off</t>
  </si>
  <si>
    <t>CUT-075</t>
  </si>
  <si>
    <t>Gate 2 pre-read: data reconciliations and technical readiness</t>
  </si>
  <si>
    <t>Gate 2 checklist</t>
  </si>
  <si>
    <t>CUT-076</t>
  </si>
  <si>
    <t>Gate 2 – Go/No-Go to start business validation</t>
  </si>
  <si>
    <t>CUT-075, CUT-050</t>
  </si>
  <si>
    <t>Gate 2 decision recorded</t>
  </si>
  <si>
    <t>Go/No-Go gate 2</t>
  </si>
  <si>
    <t>CUT-077</t>
  </si>
  <si>
    <t>Business validation</t>
  </si>
  <si>
    <t>Finance validation – trial balances per entity</t>
  </si>
  <si>
    <t>Signed TB per entity</t>
  </si>
  <si>
    <t>CUT-078</t>
  </si>
  <si>
    <t>Finance validation – open AR and AP ageing</t>
  </si>
  <si>
    <t>Ageing reports</t>
  </si>
  <si>
    <t>CUT-079</t>
  </si>
  <si>
    <t>Finance validation – intercompany balances net to zero</t>
  </si>
  <si>
    <t>Intercompany report</t>
  </si>
  <si>
    <t>CUT-080</t>
  </si>
  <si>
    <t>ZVSA e-invoice issued and cleared by ZATCA</t>
  </si>
  <si>
    <t>CUT-067, CUT-131</t>
  </si>
  <si>
    <t>Clearance evidence</t>
  </si>
  <si>
    <t>CUT-081</t>
  </si>
  <si>
    <t>Test AP payment run (no release to bank)</t>
  </si>
  <si>
    <t>Payment proposal</t>
  </si>
  <si>
    <t>CUT-082</t>
  </si>
  <si>
    <t>Warehouse validation – receive, putaway and pick test</t>
  </si>
  <si>
    <t>Test transaction list</t>
  </si>
  <si>
    <t>CUT-083</t>
  </si>
  <si>
    <t>Warehouse validation – stock on hand spot checks (50 SKUs)</t>
  </si>
  <si>
    <t>Spot check sheet</t>
  </si>
  <si>
    <t>CUT-084</t>
  </si>
  <si>
    <t>Freight quote created with trade agreement pricing</t>
  </si>
  <si>
    <t>Quote PDF</t>
  </si>
  <si>
    <t>CUT-085</t>
  </si>
  <si>
    <t>Sales validation – open opportunities and quotes</t>
  </si>
  <si>
    <t>Sample check sheet</t>
  </si>
  <si>
    <t>Zava sales validator to be confirmed</t>
  </si>
  <si>
    <t>CUT-086</t>
  </si>
  <si>
    <t>Customer Service validation – cases, queues and SLA timers</t>
  </si>
  <si>
    <t>Case test log</t>
  </si>
  <si>
    <t>CUT-087</t>
  </si>
  <si>
    <t>CargoWise shipment to invoice end-to-end test</t>
  </si>
  <si>
    <t>End-to-end trace</t>
  </si>
  <si>
    <t>CUT-088</t>
  </si>
  <si>
    <t>Power BI finance reports reviewed by Group Financial Controller</t>
  </si>
  <si>
    <t>Report screenshots</t>
  </si>
  <si>
    <t>CUT-089</t>
  </si>
  <si>
    <t>Copilot in D365 and M365 features verified for pilot users</t>
  </si>
  <si>
    <t>Feature checklist</t>
  </si>
  <si>
    <t>CUT-090</t>
  </si>
  <si>
    <t>Defect triage – business validation findings</t>
  </si>
  <si>
    <t>CUT-079, CUT-080, CUT-081, CUT-083, CUT-086, CUT-087, CUT-088</t>
  </si>
  <si>
    <t>Defect log</t>
  </si>
  <si>
    <t>CUT-091</t>
  </si>
  <si>
    <t>Business validation sign-off per workstream</t>
  </si>
  <si>
    <t>Signed validation forms</t>
  </si>
  <si>
    <t>CUT-092</t>
  </si>
  <si>
    <t>Gate 3 pre-read: validation sign-offs, open defects, rollback readiness</t>
  </si>
  <si>
    <t>Gate 3 checklist</t>
  </si>
  <si>
    <t>CUT-093</t>
  </si>
  <si>
    <t>Gate 3 – Final Go/No-Go decision</t>
  </si>
  <si>
    <t>Go-live decision minutes</t>
  </si>
  <si>
    <t>Final Go/No-Go; rollback deadline Sun 22:00</t>
  </si>
  <si>
    <t>CUT-094</t>
  </si>
  <si>
    <t>Communicate Go/No-Go outcome to all stakeholders</t>
  </si>
  <si>
    <t>Comms email</t>
  </si>
  <si>
    <t>CUT-095</t>
  </si>
  <si>
    <t>Go-live</t>
  </si>
  <si>
    <t>Open periods in D365 Finance for March 2027 (all entities)</t>
  </si>
  <si>
    <t>Period status</t>
  </si>
  <si>
    <t>CUT-096</t>
  </si>
  <si>
    <t>Release legacy systems to archive mode</t>
  </si>
  <si>
    <t>Change record</t>
  </si>
  <si>
    <t>CUT-097</t>
  </si>
  <si>
    <t>Enable all users and remove cutover restrictions</t>
  </si>
  <si>
    <t>CUT-098</t>
  </si>
  <si>
    <t>CargoWise outbound messages resumed</t>
  </si>
  <si>
    <t>Queue status</t>
  </si>
  <si>
    <t>CUT-099</t>
  </si>
  <si>
    <t>Batch job schedule switched to production timings</t>
  </si>
  <si>
    <t>Batch schedule</t>
  </si>
  <si>
    <t>CUT-100</t>
  </si>
  <si>
    <t>Copilot licences enabled for all 600 users</t>
  </si>
  <si>
    <t>Licence report</t>
  </si>
  <si>
    <t>CUT-101</t>
  </si>
  <si>
    <t>Go-live announcement to staff and customers</t>
  </si>
  <si>
    <t>Announcement post</t>
  </si>
  <si>
    <t>CUT-102</t>
  </si>
  <si>
    <t>Go-live – Mon 1 Mar 2027 business open</t>
  </si>
  <si>
    <t>Go-live confirmation</t>
  </si>
  <si>
    <t>CUT-103</t>
  </si>
  <si>
    <t>Hypercare day 1</t>
  </si>
  <si>
    <t>Hypercare war room opened (Jebel Ali HQ and Teams)</t>
  </si>
  <si>
    <t>War room log</t>
  </si>
  <si>
    <t>CUT-104</t>
  </si>
  <si>
    <t>First sales orders and shipments processed</t>
  </si>
  <si>
    <t>Transaction list</t>
  </si>
  <si>
    <t>CUT-105</t>
  </si>
  <si>
    <t>First warehouse waves released and picked</t>
  </si>
  <si>
    <t>Wave report</t>
  </si>
  <si>
    <t>CUT-106</t>
  </si>
  <si>
    <t>First AR invoices posted and e-invoices cleared (ZVSA)</t>
  </si>
  <si>
    <t>Invoice list</t>
  </si>
  <si>
    <t>CUT-107</t>
  </si>
  <si>
    <t>CargoWise message monitoring – first 4 hours</t>
  </si>
  <si>
    <t>Monitoring dashboard</t>
  </si>
  <si>
    <t>CUT-108</t>
  </si>
  <si>
    <t>Customer Service cases handled in D365 – first shift review</t>
  </si>
  <si>
    <t>Case volume report</t>
  </si>
  <si>
    <t>CUT-109</t>
  </si>
  <si>
    <t>Copilot adoption support desk open for pilot users</t>
  </si>
  <si>
    <t>Support desk log</t>
  </si>
  <si>
    <t>CUT-110</t>
  </si>
  <si>
    <t>Hypercare day 1 incident triage (P1/P2)</t>
  </si>
  <si>
    <t>Incident log</t>
  </si>
  <si>
    <t>CUT-111</t>
  </si>
  <si>
    <t>Day 1 end-of-day status report to sponsor</t>
  </si>
  <si>
    <t>Status report</t>
  </si>
  <si>
    <t>CUT-112</t>
  </si>
  <si>
    <t>Day 1 lessons learned and day 2 plan</t>
  </si>
  <si>
    <t>Day 2 plan</t>
  </si>
  <si>
    <t>ZAV-HZN cutover phase summary   |   Fictitious test data – Copilot for Frontier Consultancy scenario testing</t>
  </si>
  <si>
    <t>Tasks</t>
  </si>
  <si>
    <t>Earliest start</t>
  </si>
  <si>
    <t>Latest finish</t>
  </si>
  <si>
    <t>Total task hours</t>
  </si>
  <si>
    <t>Elapsed hours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</si>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</sst>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 mmm\ yyyy"/>
    <numFmt numFmtId="165" formatCode="ddd\ dd\ mmm\ yyyy\ hh:mm"/>
    <numFmt numFmtId="166" formatCode="0.0"/>
    <numFmt numFmtId="167" formatCode="#,##0.0"/>
  </numFmts>
  <fonts count="9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i/>
      <sz val="11"/>
      <color rgb="FF7A4A00"/>
      <name val="Calibri"/>
    </font>
    <font>
      <b/>
      <sz val="11"/>
      <color rgb="FF1B3A57"/>
      <name val="Calibri"/>
    </font>
    <font>
      <sz val="11"/>
      <color rgb="FF0000FF"/>
      <name val="Calibri"/>
    </font>
    <font>
      <b/>
      <sz val="14"/>
      <color rgb="FF1B3A5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A57"/>
        <bgColor indexed="64"/>
      </patternFill>
    </fill>
    <fill>
      <patternFill patternType="solid">
        <fgColor rgb="FFFDF0DC"/>
        <bgColor indexed="64"/>
      </patternFill>
    </fill>
    <fill>
      <patternFill patternType="solid">
        <fgColor rgb="FFF2A93B"/>
        <bgColor indexed="64"/>
      </patternFill>
    </fill>
    <fill>
      <patternFill patternType="solid">
        <fgColor rgb="FFEAF1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164" fontId="7" fillId="0" borderId="0" xfId="0" applyNumberFormat="1" applyFont="1" applyAlignment="1">
      <alignment horizontal="left" vertical="top" wrapText="1"/>
    </xf>
    <xf numFmtId="0" fontId="3" fillId="2" borderId="0" xfId="0" applyFont="1" applyFill="1" applyAlignment="1">
      <alignment vertical="center" wrapText="1"/>
    </xf>
    <xf numFmtId="165" fontId="1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2" borderId="0" xfId="0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/>
    <xf numFmtId="167" fontId="1" fillId="0" borderId="0" xfId="0" applyNumberFormat="1" applyFont="1"/>
    <xf numFmtId="0" fontId="2" fillId="4" borderId="0" xfId="0" applyFont="1" applyFill="1"/>
    <xf numFmtId="3" fontId="2" fillId="4" borderId="0" xfId="0" applyNumberFormat="1" applyFont="1" applyFill="1" applyAlignment="1">
      <alignment horizontal="center"/>
    </xf>
    <xf numFmtId="165" fontId="2" fillId="4" borderId="0" xfId="0" applyNumberFormat="1" applyFont="1" applyFill="1"/>
    <xf numFmtId="167" fontId="2" fillId="4" borderId="0" xfId="0" applyNumberFormat="1" applyFont="1" applyFill="1"/>
    <xf numFmtId="0" fontId="1" fillId="5" borderId="0" xfId="0" applyFont="1" applyFill="1"/>
    <xf numFmtId="3" fontId="1" fillId="5" borderId="0" xfId="0" applyNumberFormat="1" applyFont="1" applyFill="1" applyAlignment="1">
      <alignment horizontal="center"/>
    </xf>
    <xf numFmtId="165" fontId="1" fillId="5" borderId="0" xfId="0" applyNumberFormat="1" applyFont="1" applyFill="1"/>
    <xf numFmtId="167" fontId="1" fillId="5" borderId="0" xfId="0" applyNumberFormat="1" applyFont="1" applyFill="1"/>
    <xf numFmtId="0" fontId="4" fillId="2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0.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ddd\ dd\ mmm\ yyyy\ hh:mm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ddd\ dd\ mmm\ yyyy\ hh:mm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B3A57"/>
        </patternFill>
      </fill>
      <alignment horizontal="general" vertical="center" textRotation="0" wrapText="1" indent="0" justifyLastLine="0" shrinkToFit="0" readingOrder="0"/>
    </dxf>
    <dxf>
      <font>
        <b/>
        <i val="0"/>
        <color rgb="FF8A5300"/>
      </font>
      <fill>
        <patternFill patternType="solid">
          <fgColor indexed="64"/>
          <bgColor rgb="FFFFE8C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DCE0F-4CFF-4671-943A-4314FB31A9C9}" name="Runbook" displayName="Runbook" ref="A2:L114" totalsRowShown="0" headerRowDxfId="13" dataDxfId="12">
  <autoFilter ref="A2:L114" xr:uid="{676DCE0F-4CFF-4671-943A-4314FB31A9C9}"/>
  <tableColumns count="12">
    <tableColumn id="1" xr3:uid="{DC2CDB43-D549-4B27-9E86-DBA2489D8449}" name="Task ID" dataDxfId="11"/>
    <tableColumn id="2" xr3:uid="{E1EF7921-284A-4921-B3F1-D554EA9694A8}" name="Phase" dataDxfId="10"/>
    <tableColumn id="3" xr3:uid="{84AED059-556A-44CB-8202-5A92B78C31E7}" name="Task" dataDxfId="9"/>
    <tableColumn id="4" xr3:uid="{A6CEC3A1-6AF2-4023-8FF7-9F9C08218BCE}" name="Planned start" dataDxfId="8"/>
    <tableColumn id="5" xr3:uid="{674064F3-A53B-4C62-8C14-B8863F16E88B}" name="Planned end" dataDxfId="7">
      <calculatedColumnFormula>D3+F3/24</calculatedColumnFormula>
    </tableColumn>
    <tableColumn id="6" xr3:uid="{FFA2CDA3-A8BD-418C-9897-CD5607734E0F}" name="Duration (h)" dataDxfId="6"/>
    <tableColumn id="7" xr3:uid="{E92F3DD8-44A5-4192-B81B-A4D4A3A492D4}" name="Predecessor IDs" dataDxfId="5"/>
    <tableColumn id="8" xr3:uid="{582E55F6-38A5-4351-9D5B-57DC81EE633B}" name="Owner" dataDxfId="4"/>
    <tableColumn id="9" xr3:uid="{D10FDF80-C6A4-49AC-AD4E-9044B160620D}" name="Team" dataDxfId="3"/>
    <tableColumn id="10" xr3:uid="{BD7783BE-B685-4473-9DBB-E0F77DB320F6}" name="Status" dataDxfId="2"/>
    <tableColumn id="11" xr3:uid="{8326AEE3-B76A-43F8-9DBE-ABDEF0C682D8}" name="Evidence required" dataDxfId="1"/>
    <tableColumn id="12" xr3:uid="{B5DDA005-3A28-4768-B545-A099BC35011C}" name="Comment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pane ySplit="2" topLeftCell="A3" activePane="bottomLeft" state="frozen"/>
      <selection pane="bottomLeft" sqref="A1:B1"/>
    </sheetView>
  </sheetViews>
  <sheetFormatPr defaultRowHeight="15"/>
  <cols>
    <col min="1" max="1" width="30.7109375" customWidth="1"/>
    <col min="2" max="2" width="110.7109375" customWidth="1"/>
  </cols>
  <sheetData>
    <row r="1" spans="1:2" ht="21">
      <c r="A1" s="25" t="s">
        <v>0</v>
      </c>
      <c r="B1" s="25"/>
    </row>
    <row r="2" spans="1:2">
      <c r="A2" s="26" t="s">
        <v>1</v>
      </c>
      <c r="B2" s="26"/>
    </row>
    <row r="3" spans="1:2">
      <c r="A3" s="3"/>
      <c r="B3" s="3"/>
    </row>
    <row r="4" spans="1:2" ht="45.75">
      <c r="A4" s="4" t="s">
        <v>2</v>
      </c>
      <c r="B4" s="3" t="s">
        <v>3</v>
      </c>
    </row>
    <row r="5" spans="1:2">
      <c r="A5" s="4" t="s">
        <v>4</v>
      </c>
      <c r="B5" s="3" t="s">
        <v>5</v>
      </c>
    </row>
    <row r="6" spans="1:2">
      <c r="A6" s="4" t="s">
        <v>6</v>
      </c>
      <c r="B6" s="3" t="s">
        <v>7</v>
      </c>
    </row>
    <row r="7" spans="1:2">
      <c r="A7" s="4" t="s">
        <v>8</v>
      </c>
      <c r="B7" s="8">
        <v>46314</v>
      </c>
    </row>
    <row r="8" spans="1:2">
      <c r="A8" s="4" t="s">
        <v>9</v>
      </c>
      <c r="B8" s="3" t="s">
        <v>10</v>
      </c>
    </row>
    <row r="9" spans="1:2">
      <c r="A9" s="4" t="s">
        <v>11</v>
      </c>
      <c r="B9" s="3" t="s">
        <v>12</v>
      </c>
    </row>
    <row r="10" spans="1:2">
      <c r="A10" s="4"/>
      <c r="B10" s="3"/>
    </row>
    <row r="11" spans="1:2">
      <c r="A11" s="5" t="s">
        <v>13</v>
      </c>
      <c r="B11" s="5" t="s">
        <v>14</v>
      </c>
    </row>
    <row r="12" spans="1:2" ht="30">
      <c r="A12" s="4" t="s">
        <v>15</v>
      </c>
      <c r="B12" s="3" t="s">
        <v>16</v>
      </c>
    </row>
    <row r="13" spans="1:2">
      <c r="A13" s="4" t="s">
        <v>17</v>
      </c>
      <c r="B13" s="3" t="s">
        <v>18</v>
      </c>
    </row>
    <row r="14" spans="1:2">
      <c r="A14" s="4"/>
      <c r="B14" s="3"/>
    </row>
    <row r="15" spans="1:2">
      <c r="A15" s="4" t="s">
        <v>19</v>
      </c>
      <c r="B15" s="3" t="s">
        <v>20</v>
      </c>
    </row>
    <row r="16" spans="1:2" ht="30">
      <c r="A16" s="4" t="s">
        <v>21</v>
      </c>
      <c r="B16" s="3" t="s">
        <v>22</v>
      </c>
    </row>
    <row r="17" spans="1:2">
      <c r="A17" s="4"/>
      <c r="B17" s="3"/>
    </row>
    <row r="18" spans="1:2" ht="30">
      <c r="A18" s="6" t="s">
        <v>23</v>
      </c>
      <c r="B18" s="7" t="s">
        <v>24</v>
      </c>
    </row>
  </sheetData>
  <mergeCells count="2">
    <mergeCell ref="A1:B1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41FF-8AD5-47CC-9538-3E5E2033832B}">
  <dimension ref="A1:L11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58.7109375" customWidth="1"/>
    <col min="4" max="5" width="17.7109375" customWidth="1"/>
    <col min="6" max="6" width="10.7109375" customWidth="1"/>
    <col min="7" max="7" width="20.7109375" customWidth="1"/>
    <col min="8" max="8" width="18.7109375" customWidth="1"/>
    <col min="9" max="9" width="24.7109375" customWidth="1"/>
    <col min="10" max="10" width="12.7109375" customWidth="1"/>
    <col min="11" max="11" width="30.7109375" customWidth="1"/>
    <col min="12" max="12" width="34.7109375" customWidth="1"/>
  </cols>
  <sheetData>
    <row r="1" spans="1:12" ht="24" customHeight="1">
      <c r="A1" s="27" t="s">
        <v>25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32.25" customHeight="1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9" t="s">
        <v>34</v>
      </c>
      <c r="J2" s="9" t="s">
        <v>35</v>
      </c>
      <c r="K2" s="9" t="s">
        <v>36</v>
      </c>
      <c r="L2" s="9" t="s">
        <v>37</v>
      </c>
    </row>
    <row r="3" spans="1:12">
      <c r="A3" s="2" t="s">
        <v>38</v>
      </c>
      <c r="B3" s="2" t="s">
        <v>39</v>
      </c>
      <c r="C3" s="3" t="s">
        <v>40</v>
      </c>
      <c r="D3" s="10">
        <v>46430.375</v>
      </c>
      <c r="E3" s="10">
        <f t="shared" ref="E3" si="0">D3+F3/24</f>
        <v>46430.541666666664</v>
      </c>
      <c r="F3" s="11">
        <v>4</v>
      </c>
      <c r="G3" s="12"/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</row>
    <row r="4" spans="1:12">
      <c r="A4" s="2" t="s">
        <v>46</v>
      </c>
      <c r="B4" s="2" t="s">
        <v>39</v>
      </c>
      <c r="C4" s="3" t="s">
        <v>47</v>
      </c>
      <c r="D4" s="10">
        <v>46430.541666999998</v>
      </c>
      <c r="E4" s="10">
        <f t="shared" ref="E4:E35" si="1">D4+F4/24</f>
        <v>46430.708333666662</v>
      </c>
      <c r="F4" s="11">
        <v>4</v>
      </c>
      <c r="G4" s="12" t="s">
        <v>38</v>
      </c>
      <c r="H4" s="2" t="s">
        <v>41</v>
      </c>
      <c r="I4" s="2" t="s">
        <v>42</v>
      </c>
      <c r="J4" s="2" t="s">
        <v>43</v>
      </c>
      <c r="K4" s="2" t="s">
        <v>48</v>
      </c>
      <c r="L4" s="2"/>
    </row>
    <row r="5" spans="1:12">
      <c r="A5" s="2" t="s">
        <v>49</v>
      </c>
      <c r="B5" s="2" t="s">
        <v>39</v>
      </c>
      <c r="C5" s="3" t="s">
        <v>50</v>
      </c>
      <c r="D5" s="10">
        <v>46430.416666999998</v>
      </c>
      <c r="E5" s="10">
        <f t="shared" si="1"/>
        <v>46430.750000333333</v>
      </c>
      <c r="F5" s="11">
        <v>8</v>
      </c>
      <c r="G5" s="12"/>
      <c r="H5" s="2" t="s">
        <v>51</v>
      </c>
      <c r="I5" s="2" t="s">
        <v>52</v>
      </c>
      <c r="J5" s="2" t="s">
        <v>43</v>
      </c>
      <c r="K5" s="2" t="s">
        <v>53</v>
      </c>
      <c r="L5" s="2"/>
    </row>
    <row r="6" spans="1:12">
      <c r="A6" s="2" t="s">
        <v>54</v>
      </c>
      <c r="B6" s="2" t="s">
        <v>39</v>
      </c>
      <c r="C6" s="3" t="s">
        <v>55</v>
      </c>
      <c r="D6" s="10">
        <v>46430.75</v>
      </c>
      <c r="E6" s="10">
        <f t="shared" si="1"/>
        <v>46430.916666666664</v>
      </c>
      <c r="F6" s="11">
        <v>4</v>
      </c>
      <c r="G6" s="12" t="s">
        <v>49</v>
      </c>
      <c r="H6" s="2" t="s">
        <v>51</v>
      </c>
      <c r="I6" s="2" t="s">
        <v>56</v>
      </c>
      <c r="J6" s="2" t="s">
        <v>43</v>
      </c>
      <c r="K6" s="2" t="s">
        <v>57</v>
      </c>
      <c r="L6" s="2"/>
    </row>
    <row r="7" spans="1:12">
      <c r="A7" s="2" t="s">
        <v>58</v>
      </c>
      <c r="B7" s="2" t="s">
        <v>39</v>
      </c>
      <c r="C7" s="3" t="s">
        <v>59</v>
      </c>
      <c r="D7" s="10">
        <v>46433.375</v>
      </c>
      <c r="E7" s="10">
        <f t="shared" si="1"/>
        <v>46434.041666666664</v>
      </c>
      <c r="F7" s="11">
        <v>16</v>
      </c>
      <c r="G7" s="12" t="s">
        <v>49</v>
      </c>
      <c r="H7" s="2" t="s">
        <v>60</v>
      </c>
      <c r="I7" s="2" t="s">
        <v>61</v>
      </c>
      <c r="J7" s="2" t="s">
        <v>62</v>
      </c>
      <c r="K7" s="2" t="s">
        <v>63</v>
      </c>
      <c r="L7" s="2"/>
    </row>
    <row r="8" spans="1:12">
      <c r="A8" s="2" t="s">
        <v>64</v>
      </c>
      <c r="B8" s="2" t="s">
        <v>39</v>
      </c>
      <c r="C8" s="3" t="s">
        <v>65</v>
      </c>
      <c r="D8" s="10">
        <v>46433.375</v>
      </c>
      <c r="E8" s="10">
        <f t="shared" si="1"/>
        <v>46433.708333333336</v>
      </c>
      <c r="F8" s="11">
        <v>8</v>
      </c>
      <c r="G8" s="12"/>
      <c r="H8" s="2" t="s">
        <v>66</v>
      </c>
      <c r="I8" s="2" t="s">
        <v>67</v>
      </c>
      <c r="J8" s="2" t="s">
        <v>62</v>
      </c>
      <c r="K8" s="2" t="s">
        <v>68</v>
      </c>
      <c r="L8" s="2" t="s">
        <v>69</v>
      </c>
    </row>
    <row r="9" spans="1:12" ht="30">
      <c r="A9" s="2" t="s">
        <v>70</v>
      </c>
      <c r="B9" s="2" t="s">
        <v>39</v>
      </c>
      <c r="C9" s="3" t="s">
        <v>71</v>
      </c>
      <c r="D9" s="10">
        <v>46433.541666999998</v>
      </c>
      <c r="E9" s="10">
        <f t="shared" si="1"/>
        <v>46434.041666999998</v>
      </c>
      <c r="F9" s="11">
        <v>12</v>
      </c>
      <c r="G9" s="12" t="s">
        <v>72</v>
      </c>
      <c r="H9" s="2" t="s">
        <v>66</v>
      </c>
      <c r="I9" s="2" t="s">
        <v>67</v>
      </c>
      <c r="J9" s="2" t="s">
        <v>62</v>
      </c>
      <c r="K9" s="2" t="s">
        <v>73</v>
      </c>
      <c r="L9" s="2"/>
    </row>
    <row r="10" spans="1:12">
      <c r="A10" s="2" t="s">
        <v>74</v>
      </c>
      <c r="B10" s="2" t="s">
        <v>39</v>
      </c>
      <c r="C10" s="3" t="s">
        <v>75</v>
      </c>
      <c r="D10" s="10">
        <v>46434.041666999998</v>
      </c>
      <c r="E10" s="10">
        <f t="shared" si="1"/>
        <v>46434.375000333333</v>
      </c>
      <c r="F10" s="11">
        <v>8</v>
      </c>
      <c r="G10" s="12" t="s">
        <v>70</v>
      </c>
      <c r="H10" s="2" t="s">
        <v>66</v>
      </c>
      <c r="I10" s="2" t="s">
        <v>67</v>
      </c>
      <c r="J10" s="2" t="s">
        <v>62</v>
      </c>
      <c r="K10" s="2" t="s">
        <v>76</v>
      </c>
      <c r="L10" s="2"/>
    </row>
    <row r="11" spans="1:12">
      <c r="A11" s="2" t="s">
        <v>77</v>
      </c>
      <c r="B11" s="2" t="s">
        <v>39</v>
      </c>
      <c r="C11" s="3" t="s">
        <v>78</v>
      </c>
      <c r="D11" s="10">
        <v>46434.375</v>
      </c>
      <c r="E11" s="10">
        <f t="shared" si="1"/>
        <v>46434.708333333336</v>
      </c>
      <c r="F11" s="11">
        <v>8</v>
      </c>
      <c r="G11" s="12" t="s">
        <v>74</v>
      </c>
      <c r="H11" s="2" t="s">
        <v>66</v>
      </c>
      <c r="I11" s="2" t="s">
        <v>67</v>
      </c>
      <c r="J11" s="2" t="s">
        <v>62</v>
      </c>
      <c r="K11" s="2" t="s">
        <v>79</v>
      </c>
      <c r="L11" s="2"/>
    </row>
    <row r="12" spans="1:12" ht="30">
      <c r="A12" s="2" t="s">
        <v>80</v>
      </c>
      <c r="B12" s="2" t="s">
        <v>39</v>
      </c>
      <c r="C12" s="3" t="s">
        <v>81</v>
      </c>
      <c r="D12" s="10">
        <v>46434.708333000002</v>
      </c>
      <c r="E12" s="10">
        <f t="shared" si="1"/>
        <v>46434.874999666667</v>
      </c>
      <c r="F12" s="11">
        <v>4</v>
      </c>
      <c r="G12" s="12" t="s">
        <v>77</v>
      </c>
      <c r="H12" s="2" t="s">
        <v>82</v>
      </c>
      <c r="I12" s="2" t="s">
        <v>83</v>
      </c>
      <c r="J12" s="2" t="s">
        <v>62</v>
      </c>
      <c r="K12" s="2" t="s">
        <v>84</v>
      </c>
      <c r="L12" s="2"/>
    </row>
    <row r="13" spans="1:12">
      <c r="A13" s="2" t="s">
        <v>85</v>
      </c>
      <c r="B13" s="2" t="s">
        <v>39</v>
      </c>
      <c r="C13" s="3" t="s">
        <v>86</v>
      </c>
      <c r="D13" s="10">
        <v>46434.875</v>
      </c>
      <c r="E13" s="10">
        <f t="shared" si="1"/>
        <v>46435.208333333336</v>
      </c>
      <c r="F13" s="11">
        <v>8</v>
      </c>
      <c r="G13" s="12" t="s">
        <v>80</v>
      </c>
      <c r="H13" s="2" t="s">
        <v>87</v>
      </c>
      <c r="I13" s="2" t="s">
        <v>88</v>
      </c>
      <c r="J13" s="2" t="s">
        <v>62</v>
      </c>
      <c r="K13" s="2" t="s">
        <v>89</v>
      </c>
      <c r="L13" s="2"/>
    </row>
    <row r="14" spans="1:12">
      <c r="A14" s="2" t="s">
        <v>90</v>
      </c>
      <c r="B14" s="2" t="s">
        <v>39</v>
      </c>
      <c r="C14" s="3" t="s">
        <v>91</v>
      </c>
      <c r="D14" s="10">
        <v>46434.375</v>
      </c>
      <c r="E14" s="10">
        <f t="shared" si="1"/>
        <v>46434.875</v>
      </c>
      <c r="F14" s="11">
        <v>12</v>
      </c>
      <c r="G14" s="12" t="s">
        <v>70</v>
      </c>
      <c r="H14" s="2" t="s">
        <v>92</v>
      </c>
      <c r="I14" s="2" t="s">
        <v>93</v>
      </c>
      <c r="J14" s="2" t="s">
        <v>62</v>
      </c>
      <c r="K14" s="2" t="s">
        <v>94</v>
      </c>
      <c r="L14" s="2"/>
    </row>
    <row r="15" spans="1:12">
      <c r="A15" s="2" t="s">
        <v>95</v>
      </c>
      <c r="B15" s="2" t="s">
        <v>39</v>
      </c>
      <c r="C15" s="3" t="s">
        <v>96</v>
      </c>
      <c r="D15" s="10">
        <v>46435.375</v>
      </c>
      <c r="E15" s="10">
        <f t="shared" si="1"/>
        <v>46435.708333333336</v>
      </c>
      <c r="F15" s="11">
        <v>8</v>
      </c>
      <c r="G15" s="12" t="s">
        <v>90</v>
      </c>
      <c r="H15" s="2" t="s">
        <v>97</v>
      </c>
      <c r="I15" s="2" t="s">
        <v>98</v>
      </c>
      <c r="J15" s="2" t="s">
        <v>62</v>
      </c>
      <c r="K15" s="2" t="s">
        <v>99</v>
      </c>
      <c r="L15" s="2"/>
    </row>
    <row r="16" spans="1:12">
      <c r="A16" s="2" t="s">
        <v>100</v>
      </c>
      <c r="B16" s="2" t="s">
        <v>39</v>
      </c>
      <c r="C16" s="3" t="s">
        <v>101</v>
      </c>
      <c r="D16" s="10">
        <v>46434.375</v>
      </c>
      <c r="E16" s="10">
        <f t="shared" si="1"/>
        <v>46434.708333333336</v>
      </c>
      <c r="F16" s="11">
        <v>8</v>
      </c>
      <c r="G16" s="12" t="s">
        <v>70</v>
      </c>
      <c r="H16" s="2" t="s">
        <v>102</v>
      </c>
      <c r="I16" s="2" t="s">
        <v>56</v>
      </c>
      <c r="J16" s="2" t="s">
        <v>62</v>
      </c>
      <c r="K16" s="2" t="s">
        <v>103</v>
      </c>
      <c r="L16" s="2"/>
    </row>
    <row r="17" spans="1:12">
      <c r="A17" s="2" t="s">
        <v>104</v>
      </c>
      <c r="B17" s="2" t="s">
        <v>39</v>
      </c>
      <c r="C17" s="3" t="s">
        <v>105</v>
      </c>
      <c r="D17" s="10">
        <v>46435.375</v>
      </c>
      <c r="E17" s="10">
        <f t="shared" si="1"/>
        <v>46435.625</v>
      </c>
      <c r="F17" s="11">
        <v>6</v>
      </c>
      <c r="G17" s="12" t="s">
        <v>49</v>
      </c>
      <c r="H17" s="2" t="s">
        <v>51</v>
      </c>
      <c r="I17" s="2" t="s">
        <v>52</v>
      </c>
      <c r="J17" s="2" t="s">
        <v>62</v>
      </c>
      <c r="K17" s="2" t="s">
        <v>106</v>
      </c>
      <c r="L17" s="2"/>
    </row>
    <row r="18" spans="1:12">
      <c r="A18" s="2" t="s">
        <v>107</v>
      </c>
      <c r="B18" s="2" t="s">
        <v>39</v>
      </c>
      <c r="C18" s="3" t="s">
        <v>108</v>
      </c>
      <c r="D18" s="10">
        <v>46435.625</v>
      </c>
      <c r="E18" s="10">
        <f t="shared" si="1"/>
        <v>46435.958333333336</v>
      </c>
      <c r="F18" s="11">
        <v>8</v>
      </c>
      <c r="G18" s="12" t="s">
        <v>104</v>
      </c>
      <c r="H18" s="2" t="s">
        <v>87</v>
      </c>
      <c r="I18" s="2" t="s">
        <v>88</v>
      </c>
      <c r="J18" s="2" t="s">
        <v>62</v>
      </c>
      <c r="K18" s="2" t="s">
        <v>109</v>
      </c>
      <c r="L18" s="2"/>
    </row>
    <row r="19" spans="1:12" ht="30">
      <c r="A19" s="2" t="s">
        <v>110</v>
      </c>
      <c r="B19" s="2" t="s">
        <v>39</v>
      </c>
      <c r="C19" s="3" t="s">
        <v>111</v>
      </c>
      <c r="D19" s="10">
        <v>46435.958333000002</v>
      </c>
      <c r="E19" s="10">
        <f t="shared" si="1"/>
        <v>46436.208333000002</v>
      </c>
      <c r="F19" s="11">
        <v>6</v>
      </c>
      <c r="G19" s="12" t="s">
        <v>107</v>
      </c>
      <c r="H19" s="2" t="s">
        <v>60</v>
      </c>
      <c r="I19" s="2" t="s">
        <v>61</v>
      </c>
      <c r="J19" s="2" t="s">
        <v>62</v>
      </c>
      <c r="K19" s="2" t="s">
        <v>112</v>
      </c>
      <c r="L19" s="2"/>
    </row>
    <row r="20" spans="1:12">
      <c r="A20" s="2" t="s">
        <v>113</v>
      </c>
      <c r="B20" s="2" t="s">
        <v>39</v>
      </c>
      <c r="C20" s="3" t="s">
        <v>114</v>
      </c>
      <c r="D20" s="10">
        <v>46436.375</v>
      </c>
      <c r="E20" s="10">
        <f t="shared" si="1"/>
        <v>46436.625</v>
      </c>
      <c r="F20" s="11">
        <v>6</v>
      </c>
      <c r="G20" s="12" t="s">
        <v>49</v>
      </c>
      <c r="H20" s="2" t="s">
        <v>51</v>
      </c>
      <c r="I20" s="2" t="s">
        <v>52</v>
      </c>
      <c r="J20" s="2" t="s">
        <v>62</v>
      </c>
      <c r="K20" s="2" t="s">
        <v>115</v>
      </c>
      <c r="L20" s="2"/>
    </row>
    <row r="21" spans="1:12">
      <c r="A21" s="2" t="s">
        <v>116</v>
      </c>
      <c r="B21" s="2" t="s">
        <v>39</v>
      </c>
      <c r="C21" s="3" t="s">
        <v>117</v>
      </c>
      <c r="D21" s="10">
        <v>46436.625</v>
      </c>
      <c r="E21" s="10">
        <f t="shared" si="1"/>
        <v>46436.791666666664</v>
      </c>
      <c r="F21" s="11">
        <v>4</v>
      </c>
      <c r="G21" s="12" t="s">
        <v>113</v>
      </c>
      <c r="H21" s="2" t="s">
        <v>60</v>
      </c>
      <c r="I21" s="2" t="s">
        <v>61</v>
      </c>
      <c r="J21" s="2" t="s">
        <v>62</v>
      </c>
      <c r="K21" s="2" t="s">
        <v>118</v>
      </c>
      <c r="L21" s="2"/>
    </row>
    <row r="22" spans="1:12">
      <c r="A22" s="2" t="s">
        <v>119</v>
      </c>
      <c r="B22" s="2" t="s">
        <v>39</v>
      </c>
      <c r="C22" s="3" t="s">
        <v>120</v>
      </c>
      <c r="D22" s="10">
        <v>46436.375</v>
      </c>
      <c r="E22" s="10">
        <f t="shared" si="1"/>
        <v>46436.541666666664</v>
      </c>
      <c r="F22" s="11">
        <v>4</v>
      </c>
      <c r="G22" s="12"/>
      <c r="H22" s="2" t="s">
        <v>121</v>
      </c>
      <c r="I22" s="2" t="s">
        <v>122</v>
      </c>
      <c r="J22" s="2" t="s">
        <v>62</v>
      </c>
      <c r="K22" s="2" t="s">
        <v>123</v>
      </c>
      <c r="L22" s="2"/>
    </row>
    <row r="23" spans="1:12">
      <c r="A23" s="2" t="s">
        <v>124</v>
      </c>
      <c r="B23" s="2" t="s">
        <v>39</v>
      </c>
      <c r="C23" s="3" t="s">
        <v>125</v>
      </c>
      <c r="D23" s="10">
        <v>46436.541666999998</v>
      </c>
      <c r="E23" s="10">
        <f t="shared" si="1"/>
        <v>46436.625000333333</v>
      </c>
      <c r="F23" s="11">
        <v>2</v>
      </c>
      <c r="G23" s="12" t="s">
        <v>119</v>
      </c>
      <c r="H23" s="2" t="s">
        <v>126</v>
      </c>
      <c r="I23" s="2" t="s">
        <v>127</v>
      </c>
      <c r="J23" s="2" t="s">
        <v>62</v>
      </c>
      <c r="K23" s="2" t="s">
        <v>128</v>
      </c>
      <c r="L23" s="2"/>
    </row>
    <row r="24" spans="1:12">
      <c r="A24" s="2" t="s">
        <v>129</v>
      </c>
      <c r="B24" s="2" t="s">
        <v>39</v>
      </c>
      <c r="C24" s="3" t="s">
        <v>130</v>
      </c>
      <c r="D24" s="10">
        <v>46437.375</v>
      </c>
      <c r="E24" s="10">
        <f t="shared" si="1"/>
        <v>46438.041666666664</v>
      </c>
      <c r="F24" s="11">
        <v>16</v>
      </c>
      <c r="G24" s="12"/>
      <c r="H24" s="2" t="s">
        <v>82</v>
      </c>
      <c r="I24" s="2" t="s">
        <v>83</v>
      </c>
      <c r="J24" s="2" t="s">
        <v>62</v>
      </c>
      <c r="K24" s="2" t="s">
        <v>131</v>
      </c>
      <c r="L24" s="2"/>
    </row>
    <row r="25" spans="1:12">
      <c r="A25" s="2" t="s">
        <v>132</v>
      </c>
      <c r="B25" s="2" t="s">
        <v>39</v>
      </c>
      <c r="C25" s="3" t="s">
        <v>133</v>
      </c>
      <c r="D25" s="10">
        <v>46440.375</v>
      </c>
      <c r="E25" s="10">
        <f t="shared" si="1"/>
        <v>46440.541666666664</v>
      </c>
      <c r="F25" s="11">
        <v>4</v>
      </c>
      <c r="G25" s="12"/>
      <c r="H25" s="2" t="s">
        <v>41</v>
      </c>
      <c r="I25" s="2" t="s">
        <v>42</v>
      </c>
      <c r="J25" s="2" t="s">
        <v>62</v>
      </c>
      <c r="K25" s="2" t="s">
        <v>134</v>
      </c>
      <c r="L25" s="2"/>
    </row>
    <row r="26" spans="1:12">
      <c r="A26" s="2" t="s">
        <v>135</v>
      </c>
      <c r="B26" s="2" t="s">
        <v>39</v>
      </c>
      <c r="C26" s="3" t="s">
        <v>136</v>
      </c>
      <c r="D26" s="10">
        <v>46441.416666999998</v>
      </c>
      <c r="E26" s="10">
        <f t="shared" si="1"/>
        <v>46441.541666999998</v>
      </c>
      <c r="F26" s="11">
        <v>3</v>
      </c>
      <c r="G26" s="12" t="s">
        <v>46</v>
      </c>
      <c r="H26" s="2" t="s">
        <v>41</v>
      </c>
      <c r="I26" s="2" t="s">
        <v>42</v>
      </c>
      <c r="J26" s="2" t="s">
        <v>62</v>
      </c>
      <c r="K26" s="2" t="s">
        <v>137</v>
      </c>
      <c r="L26" s="2"/>
    </row>
    <row r="27" spans="1:12">
      <c r="A27" s="2" t="s">
        <v>138</v>
      </c>
      <c r="B27" s="2" t="s">
        <v>39</v>
      </c>
      <c r="C27" s="3" t="s">
        <v>139</v>
      </c>
      <c r="D27" s="10">
        <v>46441.583333000002</v>
      </c>
      <c r="E27" s="10">
        <f t="shared" si="1"/>
        <v>46441.749999666667</v>
      </c>
      <c r="F27" s="11">
        <v>4</v>
      </c>
      <c r="G27" s="12" t="s">
        <v>64</v>
      </c>
      <c r="H27" s="2" t="s">
        <v>66</v>
      </c>
      <c r="I27" s="2" t="s">
        <v>67</v>
      </c>
      <c r="J27" s="2" t="s">
        <v>62</v>
      </c>
      <c r="K27" s="2" t="s">
        <v>140</v>
      </c>
      <c r="L27" s="2"/>
    </row>
    <row r="28" spans="1:12" ht="30">
      <c r="A28" s="2" t="s">
        <v>141</v>
      </c>
      <c r="B28" s="2" t="s">
        <v>39</v>
      </c>
      <c r="C28" s="3" t="s">
        <v>142</v>
      </c>
      <c r="D28" s="10">
        <v>46441.75</v>
      </c>
      <c r="E28" s="10">
        <f t="shared" si="1"/>
        <v>46441.916666666664</v>
      </c>
      <c r="F28" s="11">
        <v>4</v>
      </c>
      <c r="G28" s="12" t="s">
        <v>138</v>
      </c>
      <c r="H28" s="2" t="s">
        <v>143</v>
      </c>
      <c r="I28" s="2" t="s">
        <v>144</v>
      </c>
      <c r="J28" s="2" t="s">
        <v>62</v>
      </c>
      <c r="K28" s="2" t="s">
        <v>145</v>
      </c>
      <c r="L28" s="2"/>
    </row>
    <row r="29" spans="1:12">
      <c r="A29" s="2" t="s">
        <v>146</v>
      </c>
      <c r="B29" s="2" t="s">
        <v>39</v>
      </c>
      <c r="C29" s="3" t="s">
        <v>147</v>
      </c>
      <c r="D29" s="10">
        <v>46442.458333000002</v>
      </c>
      <c r="E29" s="10">
        <f t="shared" si="1"/>
        <v>46442.499999666667</v>
      </c>
      <c r="F29" s="11">
        <v>1</v>
      </c>
      <c r="G29" s="12" t="s">
        <v>148</v>
      </c>
      <c r="H29" s="2" t="s">
        <v>149</v>
      </c>
      <c r="I29" s="2" t="s">
        <v>150</v>
      </c>
      <c r="J29" s="2" t="s">
        <v>62</v>
      </c>
      <c r="K29" s="2" t="s">
        <v>151</v>
      </c>
      <c r="L29" s="2" t="s">
        <v>152</v>
      </c>
    </row>
    <row r="30" spans="1:12">
      <c r="A30" s="2" t="s">
        <v>153</v>
      </c>
      <c r="B30" s="2" t="s">
        <v>39</v>
      </c>
      <c r="C30" s="3" t="s">
        <v>154</v>
      </c>
      <c r="D30" s="10">
        <v>46443.375</v>
      </c>
      <c r="E30" s="10">
        <f t="shared" si="1"/>
        <v>46443.458333333336</v>
      </c>
      <c r="F30" s="11">
        <v>2</v>
      </c>
      <c r="G30" s="12"/>
      <c r="H30" s="2" t="s">
        <v>60</v>
      </c>
      <c r="I30" s="2" t="s">
        <v>61</v>
      </c>
      <c r="J30" s="2" t="s">
        <v>62</v>
      </c>
      <c r="K30" s="2" t="s">
        <v>155</v>
      </c>
      <c r="L30" s="2"/>
    </row>
    <row r="31" spans="1:12">
      <c r="A31" s="2" t="s">
        <v>156</v>
      </c>
      <c r="B31" s="2" t="s">
        <v>157</v>
      </c>
      <c r="C31" s="3" t="s">
        <v>158</v>
      </c>
      <c r="D31" s="10">
        <v>46444.5</v>
      </c>
      <c r="E31" s="10">
        <f t="shared" si="1"/>
        <v>46444.541666666664</v>
      </c>
      <c r="F31" s="11">
        <v>1</v>
      </c>
      <c r="G31" s="12" t="s">
        <v>146</v>
      </c>
      <c r="H31" s="2" t="s">
        <v>102</v>
      </c>
      <c r="I31" s="2" t="s">
        <v>56</v>
      </c>
      <c r="J31" s="2" t="s">
        <v>62</v>
      </c>
      <c r="K31" s="2" t="s">
        <v>159</v>
      </c>
      <c r="L31" s="2"/>
    </row>
    <row r="32" spans="1:12">
      <c r="A32" s="2" t="s">
        <v>160</v>
      </c>
      <c r="B32" s="2" t="s">
        <v>157</v>
      </c>
      <c r="C32" s="3" t="s">
        <v>161</v>
      </c>
      <c r="D32" s="10">
        <v>46444.5</v>
      </c>
      <c r="E32" s="10">
        <f t="shared" si="1"/>
        <v>46444.541666666664</v>
      </c>
      <c r="F32" s="11">
        <v>1</v>
      </c>
      <c r="G32" s="12" t="s">
        <v>146</v>
      </c>
      <c r="H32" s="2" t="s">
        <v>82</v>
      </c>
      <c r="I32" s="2" t="s">
        <v>83</v>
      </c>
      <c r="J32" s="2" t="s">
        <v>62</v>
      </c>
      <c r="K32" s="2" t="s">
        <v>162</v>
      </c>
      <c r="L32" s="2"/>
    </row>
    <row r="33" spans="1:12">
      <c r="A33" s="2" t="s">
        <v>163</v>
      </c>
      <c r="B33" s="2" t="s">
        <v>157</v>
      </c>
      <c r="C33" s="3" t="s">
        <v>164</v>
      </c>
      <c r="D33" s="10">
        <v>46444.5</v>
      </c>
      <c r="E33" s="10">
        <f t="shared" si="1"/>
        <v>46444.541666666664</v>
      </c>
      <c r="F33" s="11">
        <v>1</v>
      </c>
      <c r="G33" s="12" t="s">
        <v>146</v>
      </c>
      <c r="H33" s="2" t="s">
        <v>82</v>
      </c>
      <c r="I33" s="2" t="s">
        <v>83</v>
      </c>
      <c r="J33" s="2" t="s">
        <v>62</v>
      </c>
      <c r="K33" s="2" t="s">
        <v>162</v>
      </c>
      <c r="L33" s="2"/>
    </row>
    <row r="34" spans="1:12" ht="30">
      <c r="A34" s="2" t="s">
        <v>165</v>
      </c>
      <c r="B34" s="2" t="s">
        <v>157</v>
      </c>
      <c r="C34" s="3" t="s">
        <v>166</v>
      </c>
      <c r="D34" s="10">
        <v>46444.541666999998</v>
      </c>
      <c r="E34" s="10">
        <f t="shared" si="1"/>
        <v>46444.583333666662</v>
      </c>
      <c r="F34" s="11">
        <v>1</v>
      </c>
      <c r="G34" s="12" t="s">
        <v>146</v>
      </c>
      <c r="H34" s="2" t="s">
        <v>97</v>
      </c>
      <c r="I34" s="2" t="s">
        <v>98</v>
      </c>
      <c r="J34" s="2" t="s">
        <v>62</v>
      </c>
      <c r="K34" s="2" t="s">
        <v>162</v>
      </c>
      <c r="L34" s="2"/>
    </row>
    <row r="35" spans="1:12">
      <c r="A35" s="2" t="s">
        <v>167</v>
      </c>
      <c r="B35" s="2" t="s">
        <v>157</v>
      </c>
      <c r="C35" s="3" t="s">
        <v>168</v>
      </c>
      <c r="D35" s="10">
        <v>46444.541666999998</v>
      </c>
      <c r="E35" s="10">
        <f t="shared" si="1"/>
        <v>46444.583333666662</v>
      </c>
      <c r="F35" s="11">
        <v>1</v>
      </c>
      <c r="G35" s="12" t="s">
        <v>146</v>
      </c>
      <c r="H35" s="2" t="s">
        <v>51</v>
      </c>
      <c r="I35" s="2" t="s">
        <v>52</v>
      </c>
      <c r="J35" s="2" t="s">
        <v>62</v>
      </c>
      <c r="K35" s="2" t="s">
        <v>169</v>
      </c>
      <c r="L35" s="2"/>
    </row>
    <row r="36" spans="1:12">
      <c r="A36" s="2" t="s">
        <v>170</v>
      </c>
      <c r="B36" s="2" t="s">
        <v>157</v>
      </c>
      <c r="C36" s="3" t="s">
        <v>171</v>
      </c>
      <c r="D36" s="10">
        <v>46444.583333000002</v>
      </c>
      <c r="E36" s="10">
        <f t="shared" ref="E36:E67" si="2">D36+F36/24</f>
        <v>46444.749999666667</v>
      </c>
      <c r="F36" s="11">
        <v>4</v>
      </c>
      <c r="G36" s="12" t="s">
        <v>167</v>
      </c>
      <c r="H36" s="2" t="s">
        <v>97</v>
      </c>
      <c r="I36" s="2" t="s">
        <v>98</v>
      </c>
      <c r="J36" s="2" t="s">
        <v>62</v>
      </c>
      <c r="K36" s="2" t="s">
        <v>172</v>
      </c>
      <c r="L36" s="2"/>
    </row>
    <row r="37" spans="1:12">
      <c r="A37" s="2" t="s">
        <v>173</v>
      </c>
      <c r="B37" s="2" t="s">
        <v>157</v>
      </c>
      <c r="C37" s="3" t="s">
        <v>174</v>
      </c>
      <c r="D37" s="10">
        <v>46444.583333000002</v>
      </c>
      <c r="E37" s="10">
        <f t="shared" si="2"/>
        <v>46444.624999666667</v>
      </c>
      <c r="F37" s="11">
        <v>1</v>
      </c>
      <c r="G37" s="12" t="s">
        <v>175</v>
      </c>
      <c r="H37" s="2" t="s">
        <v>60</v>
      </c>
      <c r="I37" s="2" t="s">
        <v>61</v>
      </c>
      <c r="J37" s="2" t="s">
        <v>62</v>
      </c>
      <c r="K37" s="2" t="s">
        <v>176</v>
      </c>
      <c r="L37" s="2"/>
    </row>
    <row r="38" spans="1:12">
      <c r="A38" s="2" t="s">
        <v>177</v>
      </c>
      <c r="B38" s="2" t="s">
        <v>157</v>
      </c>
      <c r="C38" s="3" t="s">
        <v>178</v>
      </c>
      <c r="D38" s="10">
        <v>46444.625</v>
      </c>
      <c r="E38" s="10">
        <f t="shared" si="2"/>
        <v>46444.708333333336</v>
      </c>
      <c r="F38" s="11">
        <v>2</v>
      </c>
      <c r="G38" s="12" t="s">
        <v>173</v>
      </c>
      <c r="H38" s="2" t="s">
        <v>60</v>
      </c>
      <c r="I38" s="2" t="s">
        <v>61</v>
      </c>
      <c r="J38" s="2" t="s">
        <v>62</v>
      </c>
      <c r="K38" s="2" t="s">
        <v>179</v>
      </c>
      <c r="L38" s="2"/>
    </row>
    <row r="39" spans="1:12" ht="30.75">
      <c r="A39" s="2" t="s">
        <v>180</v>
      </c>
      <c r="B39" s="2" t="s">
        <v>157</v>
      </c>
      <c r="C39" s="3" t="s">
        <v>181</v>
      </c>
      <c r="D39" s="10">
        <v>46444.708333000002</v>
      </c>
      <c r="E39" s="10">
        <f t="shared" si="2"/>
        <v>46444.791666333338</v>
      </c>
      <c r="F39" s="11">
        <v>2</v>
      </c>
      <c r="G39" s="12" t="s">
        <v>177</v>
      </c>
      <c r="H39" s="2" t="s">
        <v>87</v>
      </c>
      <c r="I39" s="2" t="s">
        <v>88</v>
      </c>
      <c r="J39" s="2" t="s">
        <v>62</v>
      </c>
      <c r="K39" s="2" t="s">
        <v>182</v>
      </c>
      <c r="L39" s="2"/>
    </row>
    <row r="40" spans="1:12">
      <c r="A40" s="2" t="s">
        <v>183</v>
      </c>
      <c r="B40" s="2" t="s">
        <v>157</v>
      </c>
      <c r="C40" s="3" t="s">
        <v>184</v>
      </c>
      <c r="D40" s="10">
        <v>46444.791666999998</v>
      </c>
      <c r="E40" s="10">
        <f t="shared" si="2"/>
        <v>46444.812500333333</v>
      </c>
      <c r="F40" s="11">
        <v>0.5</v>
      </c>
      <c r="G40" s="12" t="s">
        <v>185</v>
      </c>
      <c r="H40" s="2" t="s">
        <v>41</v>
      </c>
      <c r="I40" s="2" t="s">
        <v>42</v>
      </c>
      <c r="J40" s="2" t="s">
        <v>62</v>
      </c>
      <c r="K40" s="2" t="s">
        <v>186</v>
      </c>
      <c r="L40" s="2"/>
    </row>
    <row r="41" spans="1:12">
      <c r="A41" s="2" t="s">
        <v>187</v>
      </c>
      <c r="B41" s="2" t="s">
        <v>21</v>
      </c>
      <c r="C41" s="3" t="s">
        <v>188</v>
      </c>
      <c r="D41" s="10">
        <v>46444.8125</v>
      </c>
      <c r="E41" s="10">
        <f t="shared" si="2"/>
        <v>46444.833333333336</v>
      </c>
      <c r="F41" s="11">
        <v>0.5</v>
      </c>
      <c r="G41" s="12" t="s">
        <v>183</v>
      </c>
      <c r="H41" s="2" t="s">
        <v>41</v>
      </c>
      <c r="I41" s="2" t="s">
        <v>42</v>
      </c>
      <c r="J41" s="2" t="s">
        <v>62</v>
      </c>
      <c r="K41" s="2" t="s">
        <v>189</v>
      </c>
      <c r="L41" s="2"/>
    </row>
    <row r="42" spans="1:12">
      <c r="A42" s="2" t="s">
        <v>190</v>
      </c>
      <c r="B42" s="2" t="s">
        <v>21</v>
      </c>
      <c r="C42" s="3" t="s">
        <v>191</v>
      </c>
      <c r="D42" s="10">
        <v>46444.833333000002</v>
      </c>
      <c r="E42" s="10">
        <f t="shared" si="2"/>
        <v>46444.854166333338</v>
      </c>
      <c r="F42" s="11">
        <v>0.5</v>
      </c>
      <c r="G42" s="12" t="s">
        <v>187</v>
      </c>
      <c r="H42" s="2" t="s">
        <v>149</v>
      </c>
      <c r="I42" s="2" t="s">
        <v>150</v>
      </c>
      <c r="J42" s="2" t="s">
        <v>62</v>
      </c>
      <c r="K42" s="2" t="s">
        <v>192</v>
      </c>
      <c r="L42" s="2" t="s">
        <v>193</v>
      </c>
    </row>
    <row r="43" spans="1:12">
      <c r="A43" s="2" t="s">
        <v>194</v>
      </c>
      <c r="B43" s="2" t="s">
        <v>195</v>
      </c>
      <c r="C43" s="3" t="s">
        <v>196</v>
      </c>
      <c r="D43" s="10">
        <v>46444.854166999998</v>
      </c>
      <c r="E43" s="10">
        <f t="shared" si="2"/>
        <v>46444.916666999998</v>
      </c>
      <c r="F43" s="11">
        <v>1.5</v>
      </c>
      <c r="G43" s="12" t="s">
        <v>190</v>
      </c>
      <c r="H43" s="2" t="s">
        <v>66</v>
      </c>
      <c r="I43" s="2" t="s">
        <v>67</v>
      </c>
      <c r="J43" s="2" t="s">
        <v>62</v>
      </c>
      <c r="K43" s="2" t="s">
        <v>197</v>
      </c>
      <c r="L43" s="2"/>
    </row>
    <row r="44" spans="1:12">
      <c r="A44" s="2" t="s">
        <v>198</v>
      </c>
      <c r="B44" s="2" t="s">
        <v>195</v>
      </c>
      <c r="C44" s="3" t="s">
        <v>199</v>
      </c>
      <c r="D44" s="10">
        <v>46444.916666999998</v>
      </c>
      <c r="E44" s="10">
        <f t="shared" si="2"/>
        <v>46444.979166999998</v>
      </c>
      <c r="F44" s="11">
        <v>1.5</v>
      </c>
      <c r="G44" s="12" t="s">
        <v>194</v>
      </c>
      <c r="H44" s="2" t="s">
        <v>66</v>
      </c>
      <c r="I44" s="2" t="s">
        <v>67</v>
      </c>
      <c r="J44" s="2" t="s">
        <v>62</v>
      </c>
      <c r="K44" s="2" t="s">
        <v>200</v>
      </c>
      <c r="L44" s="2"/>
    </row>
    <row r="45" spans="1:12">
      <c r="A45" s="2" t="s">
        <v>201</v>
      </c>
      <c r="B45" s="2" t="s">
        <v>195</v>
      </c>
      <c r="C45" s="3" t="s">
        <v>202</v>
      </c>
      <c r="D45" s="10">
        <v>46444.979166999998</v>
      </c>
      <c r="E45" s="10">
        <f t="shared" si="2"/>
        <v>46445.062500333333</v>
      </c>
      <c r="F45" s="11">
        <v>2</v>
      </c>
      <c r="G45" s="12" t="s">
        <v>198</v>
      </c>
      <c r="H45" s="2" t="s">
        <v>66</v>
      </c>
      <c r="I45" s="2" t="s">
        <v>67</v>
      </c>
      <c r="J45" s="2" t="s">
        <v>62</v>
      </c>
      <c r="K45" s="2" t="s">
        <v>79</v>
      </c>
      <c r="L45" s="2"/>
    </row>
    <row r="46" spans="1:12">
      <c r="A46" s="2" t="s">
        <v>203</v>
      </c>
      <c r="B46" s="2" t="s">
        <v>195</v>
      </c>
      <c r="C46" s="3" t="s">
        <v>204</v>
      </c>
      <c r="D46" s="10">
        <v>46444.854166999998</v>
      </c>
      <c r="E46" s="10">
        <f t="shared" si="2"/>
        <v>46444.916666999998</v>
      </c>
      <c r="F46" s="11">
        <v>1.5</v>
      </c>
      <c r="G46" s="12" t="s">
        <v>190</v>
      </c>
      <c r="H46" s="2" t="s">
        <v>66</v>
      </c>
      <c r="I46" s="2" t="s">
        <v>67</v>
      </c>
      <c r="J46" s="2" t="s">
        <v>62</v>
      </c>
      <c r="K46" s="2" t="s">
        <v>197</v>
      </c>
      <c r="L46" s="2"/>
    </row>
    <row r="47" spans="1:12">
      <c r="A47" s="2" t="s">
        <v>205</v>
      </c>
      <c r="B47" s="2" t="s">
        <v>195</v>
      </c>
      <c r="C47" s="3" t="s">
        <v>206</v>
      </c>
      <c r="D47" s="10">
        <v>46444.916666999998</v>
      </c>
      <c r="E47" s="10">
        <f t="shared" si="2"/>
        <v>46444.979166999998</v>
      </c>
      <c r="F47" s="11">
        <v>1.5</v>
      </c>
      <c r="G47" s="12" t="s">
        <v>203</v>
      </c>
      <c r="H47" s="2" t="s">
        <v>66</v>
      </c>
      <c r="I47" s="2" t="s">
        <v>67</v>
      </c>
      <c r="J47" s="2" t="s">
        <v>62</v>
      </c>
      <c r="K47" s="2" t="s">
        <v>200</v>
      </c>
      <c r="L47" s="2"/>
    </row>
    <row r="48" spans="1:12">
      <c r="A48" s="2" t="s">
        <v>207</v>
      </c>
      <c r="B48" s="2" t="s">
        <v>195</v>
      </c>
      <c r="C48" s="3" t="s">
        <v>208</v>
      </c>
      <c r="D48" s="10">
        <v>46444.979166999998</v>
      </c>
      <c r="E48" s="10">
        <f t="shared" si="2"/>
        <v>46445.062500333333</v>
      </c>
      <c r="F48" s="11">
        <v>2</v>
      </c>
      <c r="G48" s="12" t="s">
        <v>209</v>
      </c>
      <c r="H48" s="2" t="s">
        <v>66</v>
      </c>
      <c r="I48" s="2" t="s">
        <v>67</v>
      </c>
      <c r="J48" s="2" t="s">
        <v>62</v>
      </c>
      <c r="K48" s="2" t="s">
        <v>79</v>
      </c>
      <c r="L48" s="2"/>
    </row>
    <row r="49" spans="1:12">
      <c r="A49" s="2" t="s">
        <v>210</v>
      </c>
      <c r="B49" s="2" t="s">
        <v>195</v>
      </c>
      <c r="C49" s="3" t="s">
        <v>211</v>
      </c>
      <c r="D49" s="10">
        <v>46445.0625</v>
      </c>
      <c r="E49" s="10">
        <f t="shared" si="2"/>
        <v>46445.104166666664</v>
      </c>
      <c r="F49" s="11">
        <v>1</v>
      </c>
      <c r="G49" s="12" t="s">
        <v>207</v>
      </c>
      <c r="H49" s="2" t="s">
        <v>82</v>
      </c>
      <c r="I49" s="2" t="s">
        <v>83</v>
      </c>
      <c r="J49" s="2" t="s">
        <v>62</v>
      </c>
      <c r="K49" s="2" t="s">
        <v>212</v>
      </c>
      <c r="L49" s="2"/>
    </row>
    <row r="50" spans="1:12">
      <c r="A50" s="2" t="s">
        <v>213</v>
      </c>
      <c r="B50" s="2" t="s">
        <v>195</v>
      </c>
      <c r="C50" s="3" t="s">
        <v>214</v>
      </c>
      <c r="D50" s="10">
        <v>46445.104166999998</v>
      </c>
      <c r="E50" s="10">
        <f t="shared" si="2"/>
        <v>46445.145833666662</v>
      </c>
      <c r="F50" s="11">
        <v>1</v>
      </c>
      <c r="G50" s="12" t="s">
        <v>210</v>
      </c>
      <c r="H50" s="2" t="s">
        <v>87</v>
      </c>
      <c r="I50" s="2" t="s">
        <v>88</v>
      </c>
      <c r="J50" s="2" t="s">
        <v>62</v>
      </c>
      <c r="K50" s="2" t="s">
        <v>215</v>
      </c>
      <c r="L50" s="2"/>
    </row>
    <row r="51" spans="1:12">
      <c r="A51" s="2" t="s">
        <v>216</v>
      </c>
      <c r="B51" s="2" t="s">
        <v>195</v>
      </c>
      <c r="C51" s="3" t="s">
        <v>217</v>
      </c>
      <c r="D51" s="10">
        <v>46445.0625</v>
      </c>
      <c r="E51" s="10">
        <f t="shared" si="2"/>
        <v>46445.145833333336</v>
      </c>
      <c r="F51" s="11">
        <v>2</v>
      </c>
      <c r="G51" s="12" t="s">
        <v>201</v>
      </c>
      <c r="H51" s="2" t="s">
        <v>87</v>
      </c>
      <c r="I51" s="2" t="s">
        <v>88</v>
      </c>
      <c r="J51" s="2" t="s">
        <v>62</v>
      </c>
      <c r="K51" s="2" t="s">
        <v>218</v>
      </c>
      <c r="L51" s="2"/>
    </row>
    <row r="52" spans="1:12">
      <c r="A52" s="2" t="s">
        <v>219</v>
      </c>
      <c r="B52" s="2" t="s">
        <v>195</v>
      </c>
      <c r="C52" s="3" t="s">
        <v>220</v>
      </c>
      <c r="D52" s="10">
        <v>46445.145833000002</v>
      </c>
      <c r="E52" s="10">
        <f t="shared" si="2"/>
        <v>46445.229166333338</v>
      </c>
      <c r="F52" s="11">
        <v>2</v>
      </c>
      <c r="G52" s="12" t="s">
        <v>221</v>
      </c>
      <c r="H52" s="2" t="s">
        <v>82</v>
      </c>
      <c r="I52" s="2" t="s">
        <v>83</v>
      </c>
      <c r="J52" s="2" t="s">
        <v>62</v>
      </c>
      <c r="K52" s="2" t="s">
        <v>222</v>
      </c>
      <c r="L52" s="2"/>
    </row>
    <row r="53" spans="1:12">
      <c r="A53" s="2" t="s">
        <v>223</v>
      </c>
      <c r="B53" s="2" t="s">
        <v>195</v>
      </c>
      <c r="C53" s="3" t="s">
        <v>224</v>
      </c>
      <c r="D53" s="10">
        <v>46445.229166999998</v>
      </c>
      <c r="E53" s="10">
        <f t="shared" si="2"/>
        <v>46445.270833666662</v>
      </c>
      <c r="F53" s="11">
        <v>1</v>
      </c>
      <c r="G53" s="12" t="s">
        <v>219</v>
      </c>
      <c r="H53" s="2" t="s">
        <v>87</v>
      </c>
      <c r="I53" s="2" t="s">
        <v>88</v>
      </c>
      <c r="J53" s="2" t="s">
        <v>62</v>
      </c>
      <c r="K53" s="2" t="s">
        <v>225</v>
      </c>
      <c r="L53" s="2"/>
    </row>
    <row r="54" spans="1:12">
      <c r="A54" s="2" t="s">
        <v>226</v>
      </c>
      <c r="B54" s="2" t="s">
        <v>195</v>
      </c>
      <c r="C54" s="3" t="s">
        <v>227</v>
      </c>
      <c r="D54" s="10">
        <v>46445.229166999998</v>
      </c>
      <c r="E54" s="10">
        <f t="shared" si="2"/>
        <v>46445.270833666662</v>
      </c>
      <c r="F54" s="11">
        <v>1</v>
      </c>
      <c r="G54" s="12" t="s">
        <v>219</v>
      </c>
      <c r="H54" s="2" t="s">
        <v>87</v>
      </c>
      <c r="I54" s="2" t="s">
        <v>88</v>
      </c>
      <c r="J54" s="2" t="s">
        <v>62</v>
      </c>
      <c r="K54" s="2" t="s">
        <v>89</v>
      </c>
      <c r="L54" s="2"/>
    </row>
    <row r="55" spans="1:12">
      <c r="A55" s="2" t="s">
        <v>228</v>
      </c>
      <c r="B55" s="2" t="s">
        <v>195</v>
      </c>
      <c r="C55" s="3" t="s">
        <v>229</v>
      </c>
      <c r="D55" s="10">
        <v>46444.854166999998</v>
      </c>
      <c r="E55" s="10">
        <f t="shared" si="2"/>
        <v>46444.979166999998</v>
      </c>
      <c r="F55" s="11">
        <v>3</v>
      </c>
      <c r="G55" s="12" t="s">
        <v>230</v>
      </c>
      <c r="H55" s="2" t="s">
        <v>92</v>
      </c>
      <c r="I55" s="2" t="s">
        <v>93</v>
      </c>
      <c r="J55" s="2" t="s">
        <v>62</v>
      </c>
      <c r="K55" s="2" t="s">
        <v>231</v>
      </c>
      <c r="L55" s="2"/>
    </row>
    <row r="56" spans="1:12">
      <c r="A56" s="2" t="s">
        <v>232</v>
      </c>
      <c r="B56" s="2" t="s">
        <v>195</v>
      </c>
      <c r="C56" s="3" t="s">
        <v>233</v>
      </c>
      <c r="D56" s="10">
        <v>46445.229166999998</v>
      </c>
      <c r="E56" s="10">
        <f t="shared" si="2"/>
        <v>46445.291666999998</v>
      </c>
      <c r="F56" s="11">
        <v>1.5</v>
      </c>
      <c r="G56" s="12" t="s">
        <v>234</v>
      </c>
      <c r="H56" s="2" t="s">
        <v>82</v>
      </c>
      <c r="I56" s="2" t="s">
        <v>83</v>
      </c>
      <c r="J56" s="2" t="s">
        <v>62</v>
      </c>
      <c r="K56" s="2" t="s">
        <v>235</v>
      </c>
      <c r="L56" s="2"/>
    </row>
    <row r="57" spans="1:12">
      <c r="A57" s="2" t="s">
        <v>236</v>
      </c>
      <c r="B57" s="2" t="s">
        <v>195</v>
      </c>
      <c r="C57" s="3" t="s">
        <v>237</v>
      </c>
      <c r="D57" s="10">
        <v>46444.979166999998</v>
      </c>
      <c r="E57" s="10">
        <f t="shared" si="2"/>
        <v>46445.062500333333</v>
      </c>
      <c r="F57" s="11">
        <v>2</v>
      </c>
      <c r="G57" s="12" t="s">
        <v>228</v>
      </c>
      <c r="H57" s="2" t="s">
        <v>92</v>
      </c>
      <c r="I57" s="2" t="s">
        <v>93</v>
      </c>
      <c r="J57" s="2" t="s">
        <v>62</v>
      </c>
      <c r="K57" s="2" t="s">
        <v>79</v>
      </c>
      <c r="L57" s="2"/>
    </row>
    <row r="58" spans="1:12">
      <c r="A58" s="2" t="s">
        <v>238</v>
      </c>
      <c r="B58" s="2" t="s">
        <v>195</v>
      </c>
      <c r="C58" s="3" t="s">
        <v>239</v>
      </c>
      <c r="D58" s="10">
        <v>46445.0625</v>
      </c>
      <c r="E58" s="10">
        <f t="shared" si="2"/>
        <v>46445.145833333336</v>
      </c>
      <c r="F58" s="11">
        <v>2</v>
      </c>
      <c r="G58" s="12" t="s">
        <v>236</v>
      </c>
      <c r="H58" s="2" t="s">
        <v>102</v>
      </c>
      <c r="I58" s="2" t="s">
        <v>56</v>
      </c>
      <c r="J58" s="2" t="s">
        <v>62</v>
      </c>
      <c r="K58" s="2" t="s">
        <v>79</v>
      </c>
      <c r="L58" s="2"/>
    </row>
    <row r="59" spans="1:12">
      <c r="A59" s="2" t="s">
        <v>240</v>
      </c>
      <c r="B59" s="2" t="s">
        <v>195</v>
      </c>
      <c r="C59" s="3" t="s">
        <v>241</v>
      </c>
      <c r="D59" s="10">
        <v>46444.854166999998</v>
      </c>
      <c r="E59" s="10">
        <f t="shared" si="2"/>
        <v>46445.020833666662</v>
      </c>
      <c r="F59" s="11">
        <v>4</v>
      </c>
      <c r="G59" s="12" t="s">
        <v>190</v>
      </c>
      <c r="H59" s="2" t="s">
        <v>102</v>
      </c>
      <c r="I59" s="2" t="s">
        <v>56</v>
      </c>
      <c r="J59" s="2" t="s">
        <v>62</v>
      </c>
      <c r="K59" s="2" t="s">
        <v>242</v>
      </c>
      <c r="L59" s="2"/>
    </row>
    <row r="60" spans="1:12">
      <c r="A60" s="2" t="s">
        <v>243</v>
      </c>
      <c r="B60" s="2" t="s">
        <v>195</v>
      </c>
      <c r="C60" s="3" t="s">
        <v>244</v>
      </c>
      <c r="D60" s="10">
        <v>46445.020833000002</v>
      </c>
      <c r="E60" s="10">
        <f t="shared" si="2"/>
        <v>46445.145833000002</v>
      </c>
      <c r="F60" s="11">
        <v>3</v>
      </c>
      <c r="G60" s="12" t="s">
        <v>240</v>
      </c>
      <c r="H60" s="2" t="s">
        <v>102</v>
      </c>
      <c r="I60" s="2" t="s">
        <v>56</v>
      </c>
      <c r="J60" s="2" t="s">
        <v>62</v>
      </c>
      <c r="K60" s="2" t="s">
        <v>242</v>
      </c>
      <c r="L60" s="2"/>
    </row>
    <row r="61" spans="1:12">
      <c r="A61" s="2" t="s">
        <v>245</v>
      </c>
      <c r="B61" s="2" t="s">
        <v>195</v>
      </c>
      <c r="C61" s="3" t="s">
        <v>246</v>
      </c>
      <c r="D61" s="10">
        <v>46445.145833000002</v>
      </c>
      <c r="E61" s="10">
        <f t="shared" si="2"/>
        <v>46445.270833000002</v>
      </c>
      <c r="F61" s="11">
        <v>3</v>
      </c>
      <c r="G61" s="12" t="s">
        <v>243</v>
      </c>
      <c r="H61" s="2" t="s">
        <v>102</v>
      </c>
      <c r="I61" s="2" t="s">
        <v>56</v>
      </c>
      <c r="J61" s="2" t="s">
        <v>62</v>
      </c>
      <c r="K61" s="2" t="s">
        <v>242</v>
      </c>
      <c r="L61" s="2"/>
    </row>
    <row r="62" spans="1:12">
      <c r="A62" s="2" t="s">
        <v>247</v>
      </c>
      <c r="B62" s="2" t="s">
        <v>195</v>
      </c>
      <c r="C62" s="3" t="s">
        <v>248</v>
      </c>
      <c r="D62" s="10">
        <v>46445.145833000002</v>
      </c>
      <c r="E62" s="10">
        <f t="shared" si="2"/>
        <v>46445.229166333338</v>
      </c>
      <c r="F62" s="11">
        <v>2</v>
      </c>
      <c r="G62" s="12" t="s">
        <v>249</v>
      </c>
      <c r="H62" s="2" t="s">
        <v>51</v>
      </c>
      <c r="I62" s="2" t="s">
        <v>52</v>
      </c>
      <c r="J62" s="2" t="s">
        <v>62</v>
      </c>
      <c r="K62" s="2" t="s">
        <v>250</v>
      </c>
      <c r="L62" s="2"/>
    </row>
    <row r="63" spans="1:12">
      <c r="A63" s="2" t="s">
        <v>251</v>
      </c>
      <c r="B63" s="2" t="s">
        <v>195</v>
      </c>
      <c r="C63" s="3" t="s">
        <v>252</v>
      </c>
      <c r="D63" s="10">
        <v>46445.291666999998</v>
      </c>
      <c r="E63" s="10">
        <f t="shared" si="2"/>
        <v>46445.375000333333</v>
      </c>
      <c r="F63" s="11">
        <v>2</v>
      </c>
      <c r="G63" s="12" t="s">
        <v>253</v>
      </c>
      <c r="H63" s="2" t="s">
        <v>66</v>
      </c>
      <c r="I63" s="2" t="s">
        <v>67</v>
      </c>
      <c r="J63" s="2" t="s">
        <v>62</v>
      </c>
      <c r="K63" s="2" t="s">
        <v>254</v>
      </c>
      <c r="L63" s="2"/>
    </row>
    <row r="64" spans="1:12">
      <c r="A64" s="2" t="s">
        <v>255</v>
      </c>
      <c r="B64" s="2" t="s">
        <v>195</v>
      </c>
      <c r="C64" s="3" t="s">
        <v>256</v>
      </c>
      <c r="D64" s="10">
        <v>46445.375</v>
      </c>
      <c r="E64" s="10">
        <f t="shared" si="2"/>
        <v>46445.416666666664</v>
      </c>
      <c r="F64" s="11">
        <v>1</v>
      </c>
      <c r="G64" s="12" t="s">
        <v>251</v>
      </c>
      <c r="H64" s="2" t="s">
        <v>66</v>
      </c>
      <c r="I64" s="2" t="s">
        <v>67</v>
      </c>
      <c r="J64" s="2" t="s">
        <v>62</v>
      </c>
      <c r="K64" s="2" t="s">
        <v>257</v>
      </c>
      <c r="L64" s="2"/>
    </row>
    <row r="65" spans="1:12">
      <c r="A65" s="2" t="s">
        <v>258</v>
      </c>
      <c r="B65" s="2" t="s">
        <v>259</v>
      </c>
      <c r="C65" s="3" t="s">
        <v>260</v>
      </c>
      <c r="D65" s="10">
        <v>46445.416666999998</v>
      </c>
      <c r="E65" s="10">
        <f t="shared" si="2"/>
        <v>46445.458333666662</v>
      </c>
      <c r="F65" s="11">
        <v>1</v>
      </c>
      <c r="G65" s="12" t="s">
        <v>255</v>
      </c>
      <c r="H65" s="2" t="s">
        <v>51</v>
      </c>
      <c r="I65" s="2" t="s">
        <v>52</v>
      </c>
      <c r="J65" s="2" t="s">
        <v>62</v>
      </c>
      <c r="K65" s="2" t="s">
        <v>261</v>
      </c>
      <c r="L65" s="2"/>
    </row>
    <row r="66" spans="1:12">
      <c r="A66" s="2" t="s">
        <v>262</v>
      </c>
      <c r="B66" s="2" t="s">
        <v>259</v>
      </c>
      <c r="C66" s="3" t="s">
        <v>263</v>
      </c>
      <c r="D66" s="10">
        <v>46445.458333000002</v>
      </c>
      <c r="E66" s="10">
        <f t="shared" si="2"/>
        <v>46445.520833000002</v>
      </c>
      <c r="F66" s="11">
        <v>1.5</v>
      </c>
      <c r="G66" s="12" t="s">
        <v>258</v>
      </c>
      <c r="H66" s="2" t="s">
        <v>51</v>
      </c>
      <c r="I66" s="2" t="s">
        <v>52</v>
      </c>
      <c r="J66" s="2" t="s">
        <v>62</v>
      </c>
      <c r="K66" s="2" t="s">
        <v>264</v>
      </c>
      <c r="L66" s="2"/>
    </row>
    <row r="67" spans="1:12">
      <c r="A67" s="2" t="s">
        <v>265</v>
      </c>
      <c r="B67" s="2" t="s">
        <v>259</v>
      </c>
      <c r="C67" s="3" t="s">
        <v>266</v>
      </c>
      <c r="D67" s="10">
        <v>46445.520833000002</v>
      </c>
      <c r="E67" s="10">
        <f t="shared" si="2"/>
        <v>46445.562499666667</v>
      </c>
      <c r="F67" s="11">
        <v>1</v>
      </c>
      <c r="G67" s="12" t="s">
        <v>262</v>
      </c>
      <c r="H67" s="2" t="s">
        <v>51</v>
      </c>
      <c r="I67" s="2" t="s">
        <v>52</v>
      </c>
      <c r="J67" s="2" t="s">
        <v>62</v>
      </c>
      <c r="K67" s="2" t="s">
        <v>267</v>
      </c>
      <c r="L67" s="2"/>
    </row>
    <row r="68" spans="1:12">
      <c r="A68" s="2" t="s">
        <v>268</v>
      </c>
      <c r="B68" s="2" t="s">
        <v>259</v>
      </c>
      <c r="C68" s="3" t="s">
        <v>269</v>
      </c>
      <c r="D68" s="10">
        <v>46445.458333000002</v>
      </c>
      <c r="E68" s="10">
        <f t="shared" ref="E68:E99" si="3">D68+F68/24</f>
        <v>46445.520833000002</v>
      </c>
      <c r="F68" s="11">
        <v>1.5</v>
      </c>
      <c r="G68" s="12" t="s">
        <v>258</v>
      </c>
      <c r="H68" s="2" t="s">
        <v>87</v>
      </c>
      <c r="I68" s="2" t="s">
        <v>88</v>
      </c>
      <c r="J68" s="2" t="s">
        <v>62</v>
      </c>
      <c r="K68" s="2" t="s">
        <v>270</v>
      </c>
      <c r="L68" s="2"/>
    </row>
    <row r="69" spans="1:12">
      <c r="A69" s="2" t="s">
        <v>271</v>
      </c>
      <c r="B69" s="2" t="s">
        <v>259</v>
      </c>
      <c r="C69" s="3" t="s">
        <v>272</v>
      </c>
      <c r="D69" s="10">
        <v>46445.4375</v>
      </c>
      <c r="E69" s="10">
        <f t="shared" si="3"/>
        <v>46445.479166666664</v>
      </c>
      <c r="F69" s="11">
        <v>1</v>
      </c>
      <c r="G69" s="12" t="s">
        <v>268</v>
      </c>
      <c r="H69" s="2" t="s">
        <v>87</v>
      </c>
      <c r="I69" s="2" t="s">
        <v>88</v>
      </c>
      <c r="J69" s="2" t="s">
        <v>62</v>
      </c>
      <c r="K69" s="2" t="s">
        <v>273</v>
      </c>
      <c r="L69" s="2" t="s">
        <v>274</v>
      </c>
    </row>
    <row r="70" spans="1:12">
      <c r="A70" s="2" t="s">
        <v>275</v>
      </c>
      <c r="B70" s="2" t="s">
        <v>259</v>
      </c>
      <c r="C70" s="3" t="s">
        <v>276</v>
      </c>
      <c r="D70" s="10">
        <v>46445.458333000002</v>
      </c>
      <c r="E70" s="10">
        <f t="shared" si="3"/>
        <v>46445.499999666667</v>
      </c>
      <c r="F70" s="11">
        <v>1</v>
      </c>
      <c r="G70" s="12" t="s">
        <v>258</v>
      </c>
      <c r="H70" s="2" t="s">
        <v>102</v>
      </c>
      <c r="I70" s="2" t="s">
        <v>56</v>
      </c>
      <c r="J70" s="2" t="s">
        <v>62</v>
      </c>
      <c r="K70" s="2" t="s">
        <v>277</v>
      </c>
      <c r="L70" s="2"/>
    </row>
    <row r="71" spans="1:12">
      <c r="A71" s="2" t="s">
        <v>278</v>
      </c>
      <c r="B71" s="2" t="s">
        <v>259</v>
      </c>
      <c r="C71" s="3" t="s">
        <v>279</v>
      </c>
      <c r="D71" s="10">
        <v>46445.5</v>
      </c>
      <c r="E71" s="10">
        <f t="shared" si="3"/>
        <v>46445.5625</v>
      </c>
      <c r="F71" s="11">
        <v>1.5</v>
      </c>
      <c r="G71" s="12" t="s">
        <v>275</v>
      </c>
      <c r="H71" s="2" t="s">
        <v>87</v>
      </c>
      <c r="I71" s="2" t="s">
        <v>88</v>
      </c>
      <c r="J71" s="2" t="s">
        <v>62</v>
      </c>
      <c r="K71" s="2" t="s">
        <v>280</v>
      </c>
      <c r="L71" s="2"/>
    </row>
    <row r="72" spans="1:12">
      <c r="A72" s="2" t="s">
        <v>281</v>
      </c>
      <c r="B72" s="2" t="s">
        <v>259</v>
      </c>
      <c r="C72" s="3" t="s">
        <v>282</v>
      </c>
      <c r="D72" s="10">
        <v>46445.5625</v>
      </c>
      <c r="E72" s="10">
        <f t="shared" si="3"/>
        <v>46445.604166666664</v>
      </c>
      <c r="F72" s="11">
        <v>1</v>
      </c>
      <c r="G72" s="12" t="s">
        <v>265</v>
      </c>
      <c r="H72" s="2" t="s">
        <v>51</v>
      </c>
      <c r="I72" s="2" t="s">
        <v>52</v>
      </c>
      <c r="J72" s="2" t="s">
        <v>62</v>
      </c>
      <c r="K72" s="2" t="s">
        <v>283</v>
      </c>
      <c r="L72" s="2"/>
    </row>
    <row r="73" spans="1:12">
      <c r="A73" s="2" t="s">
        <v>284</v>
      </c>
      <c r="B73" s="2" t="s">
        <v>259</v>
      </c>
      <c r="C73" s="3" t="s">
        <v>285</v>
      </c>
      <c r="D73" s="10">
        <v>46445.458333000002</v>
      </c>
      <c r="E73" s="10">
        <f t="shared" si="3"/>
        <v>46445.541666333338</v>
      </c>
      <c r="F73" s="11">
        <v>2</v>
      </c>
      <c r="G73" s="12" t="s">
        <v>258</v>
      </c>
      <c r="H73" s="2" t="s">
        <v>60</v>
      </c>
      <c r="I73" s="2" t="s">
        <v>61</v>
      </c>
      <c r="J73" s="2" t="s">
        <v>62</v>
      </c>
      <c r="K73" s="2" t="s">
        <v>286</v>
      </c>
      <c r="L73" s="2"/>
    </row>
    <row r="74" spans="1:12">
      <c r="A74" s="2" t="s">
        <v>287</v>
      </c>
      <c r="B74" s="2" t="s">
        <v>259</v>
      </c>
      <c r="C74" s="3" t="s">
        <v>288</v>
      </c>
      <c r="D74" s="10">
        <v>46445.541666999998</v>
      </c>
      <c r="E74" s="10">
        <f t="shared" si="3"/>
        <v>46445.583333666662</v>
      </c>
      <c r="F74" s="11">
        <v>1</v>
      </c>
      <c r="G74" s="12" t="s">
        <v>284</v>
      </c>
      <c r="H74" s="2" t="s">
        <v>97</v>
      </c>
      <c r="I74" s="2" t="s">
        <v>98</v>
      </c>
      <c r="J74" s="2" t="s">
        <v>62</v>
      </c>
      <c r="K74" s="2" t="s">
        <v>289</v>
      </c>
      <c r="L74" s="2"/>
    </row>
    <row r="75" spans="1:12">
      <c r="A75" s="2" t="s">
        <v>290</v>
      </c>
      <c r="B75" s="2" t="s">
        <v>259</v>
      </c>
      <c r="C75" s="3" t="s">
        <v>291</v>
      </c>
      <c r="D75" s="10">
        <v>46445.583333000002</v>
      </c>
      <c r="E75" s="10">
        <f t="shared" si="3"/>
        <v>46445.624999666667</v>
      </c>
      <c r="F75" s="11">
        <v>1</v>
      </c>
      <c r="G75" s="12" t="s">
        <v>287</v>
      </c>
      <c r="H75" s="2" t="s">
        <v>60</v>
      </c>
      <c r="I75" s="2" t="s">
        <v>61</v>
      </c>
      <c r="J75" s="2" t="s">
        <v>62</v>
      </c>
      <c r="K75" s="2" t="s">
        <v>292</v>
      </c>
      <c r="L75" s="2"/>
    </row>
    <row r="76" spans="1:12">
      <c r="A76" s="2" t="s">
        <v>293</v>
      </c>
      <c r="B76" s="2" t="s">
        <v>259</v>
      </c>
      <c r="C76" s="3" t="s">
        <v>294</v>
      </c>
      <c r="D76" s="10">
        <v>46445.625</v>
      </c>
      <c r="E76" s="10">
        <f t="shared" si="3"/>
        <v>46445.645833333336</v>
      </c>
      <c r="F76" s="11">
        <v>0.5</v>
      </c>
      <c r="G76" s="12" t="s">
        <v>295</v>
      </c>
      <c r="H76" s="2" t="s">
        <v>296</v>
      </c>
      <c r="I76" s="2" t="s">
        <v>297</v>
      </c>
      <c r="J76" s="2" t="s">
        <v>62</v>
      </c>
      <c r="K76" s="2" t="s">
        <v>298</v>
      </c>
      <c r="L76" s="2"/>
    </row>
    <row r="77" spans="1:12">
      <c r="A77" s="2" t="s">
        <v>299</v>
      </c>
      <c r="B77" s="2" t="s">
        <v>21</v>
      </c>
      <c r="C77" s="3" t="s">
        <v>300</v>
      </c>
      <c r="D77" s="10">
        <v>46445.645833000002</v>
      </c>
      <c r="E77" s="10">
        <f t="shared" si="3"/>
        <v>46445.687499666667</v>
      </c>
      <c r="F77" s="11">
        <v>1</v>
      </c>
      <c r="G77" s="12" t="s">
        <v>293</v>
      </c>
      <c r="H77" s="2" t="s">
        <v>41</v>
      </c>
      <c r="I77" s="2" t="s">
        <v>42</v>
      </c>
      <c r="J77" s="2" t="s">
        <v>62</v>
      </c>
      <c r="K77" s="2" t="s">
        <v>301</v>
      </c>
      <c r="L77" s="2"/>
    </row>
    <row r="78" spans="1:12">
      <c r="A78" s="2" t="s">
        <v>302</v>
      </c>
      <c r="B78" s="2" t="s">
        <v>21</v>
      </c>
      <c r="C78" s="3" t="s">
        <v>303</v>
      </c>
      <c r="D78" s="10">
        <v>46445.6875</v>
      </c>
      <c r="E78" s="10">
        <f t="shared" si="3"/>
        <v>46445.708333333336</v>
      </c>
      <c r="F78" s="11">
        <v>0.5</v>
      </c>
      <c r="G78" s="12" t="s">
        <v>304</v>
      </c>
      <c r="H78" s="2" t="s">
        <v>149</v>
      </c>
      <c r="I78" s="2" t="s">
        <v>150</v>
      </c>
      <c r="J78" s="2" t="s">
        <v>62</v>
      </c>
      <c r="K78" s="2" t="s">
        <v>305</v>
      </c>
      <c r="L78" s="2" t="s">
        <v>306</v>
      </c>
    </row>
    <row r="79" spans="1:12">
      <c r="A79" s="2" t="s">
        <v>307</v>
      </c>
      <c r="B79" s="2" t="s">
        <v>308</v>
      </c>
      <c r="C79" s="3" t="s">
        <v>309</v>
      </c>
      <c r="D79" s="10">
        <v>46445.708333000002</v>
      </c>
      <c r="E79" s="10">
        <f t="shared" si="3"/>
        <v>46445.833333000002</v>
      </c>
      <c r="F79" s="11">
        <v>3</v>
      </c>
      <c r="G79" s="12" t="s">
        <v>302</v>
      </c>
      <c r="H79" s="2" t="s">
        <v>82</v>
      </c>
      <c r="I79" s="2" t="s">
        <v>83</v>
      </c>
      <c r="J79" s="2" t="s">
        <v>62</v>
      </c>
      <c r="K79" s="2" t="s">
        <v>310</v>
      </c>
      <c r="L79" s="2"/>
    </row>
    <row r="80" spans="1:12">
      <c r="A80" s="2" t="s">
        <v>311</v>
      </c>
      <c r="B80" s="2" t="s">
        <v>308</v>
      </c>
      <c r="C80" s="3" t="s">
        <v>312</v>
      </c>
      <c r="D80" s="10">
        <v>46445.708333000002</v>
      </c>
      <c r="E80" s="10">
        <f t="shared" si="3"/>
        <v>46445.833333000002</v>
      </c>
      <c r="F80" s="11">
        <v>3</v>
      </c>
      <c r="G80" s="12" t="s">
        <v>302</v>
      </c>
      <c r="H80" s="2" t="s">
        <v>82</v>
      </c>
      <c r="I80" s="2" t="s">
        <v>83</v>
      </c>
      <c r="J80" s="2" t="s">
        <v>62</v>
      </c>
      <c r="K80" s="2" t="s">
        <v>313</v>
      </c>
      <c r="L80" s="2"/>
    </row>
    <row r="81" spans="1:12">
      <c r="A81" s="2" t="s">
        <v>314</v>
      </c>
      <c r="B81" s="2" t="s">
        <v>308</v>
      </c>
      <c r="C81" s="3" t="s">
        <v>315</v>
      </c>
      <c r="D81" s="10">
        <v>46445.833333000002</v>
      </c>
      <c r="E81" s="10">
        <f t="shared" si="3"/>
        <v>46445.916666333338</v>
      </c>
      <c r="F81" s="11">
        <v>2</v>
      </c>
      <c r="G81" s="12" t="s">
        <v>307</v>
      </c>
      <c r="H81" s="2" t="s">
        <v>87</v>
      </c>
      <c r="I81" s="2" t="s">
        <v>88</v>
      </c>
      <c r="J81" s="2" t="s">
        <v>62</v>
      </c>
      <c r="K81" s="2" t="s">
        <v>316</v>
      </c>
      <c r="L81" s="2"/>
    </row>
    <row r="82" spans="1:12">
      <c r="A82" s="2" t="s">
        <v>317</v>
      </c>
      <c r="B82" s="2" t="s">
        <v>308</v>
      </c>
      <c r="C82" s="3" t="s">
        <v>318</v>
      </c>
      <c r="D82" s="10">
        <v>46445.916666999998</v>
      </c>
      <c r="E82" s="10">
        <f t="shared" si="3"/>
        <v>46445.958333666662</v>
      </c>
      <c r="F82" s="11">
        <v>1</v>
      </c>
      <c r="G82" s="12" t="s">
        <v>319</v>
      </c>
      <c r="H82" s="2" t="s">
        <v>87</v>
      </c>
      <c r="I82" s="2" t="s">
        <v>88</v>
      </c>
      <c r="J82" s="2" t="s">
        <v>62</v>
      </c>
      <c r="K82" s="2" t="s">
        <v>320</v>
      </c>
      <c r="L82" s="2"/>
    </row>
    <row r="83" spans="1:12">
      <c r="A83" s="2" t="s">
        <v>321</v>
      </c>
      <c r="B83" s="2" t="s">
        <v>308</v>
      </c>
      <c r="C83" s="3" t="s">
        <v>322</v>
      </c>
      <c r="D83" s="10">
        <v>46445.833333000002</v>
      </c>
      <c r="E83" s="10">
        <f t="shared" si="3"/>
        <v>46445.916666333338</v>
      </c>
      <c r="F83" s="11">
        <v>2</v>
      </c>
      <c r="G83" s="12" t="s">
        <v>311</v>
      </c>
      <c r="H83" s="2" t="s">
        <v>82</v>
      </c>
      <c r="I83" s="2" t="s">
        <v>83</v>
      </c>
      <c r="J83" s="2" t="s">
        <v>62</v>
      </c>
      <c r="K83" s="2" t="s">
        <v>323</v>
      </c>
      <c r="L83" s="2"/>
    </row>
    <row r="84" spans="1:12">
      <c r="A84" s="2" t="s">
        <v>324</v>
      </c>
      <c r="B84" s="2" t="s">
        <v>308</v>
      </c>
      <c r="C84" s="3" t="s">
        <v>325</v>
      </c>
      <c r="D84" s="10">
        <v>46445.708333000002</v>
      </c>
      <c r="E84" s="10">
        <f t="shared" si="3"/>
        <v>46445.874999666667</v>
      </c>
      <c r="F84" s="11">
        <v>4</v>
      </c>
      <c r="G84" s="12" t="s">
        <v>302</v>
      </c>
      <c r="H84" s="2" t="s">
        <v>97</v>
      </c>
      <c r="I84" s="2" t="s">
        <v>98</v>
      </c>
      <c r="J84" s="2" t="s">
        <v>62</v>
      </c>
      <c r="K84" s="2" t="s">
        <v>326</v>
      </c>
      <c r="L84" s="2"/>
    </row>
    <row r="85" spans="1:12">
      <c r="A85" s="2" t="s">
        <v>327</v>
      </c>
      <c r="B85" s="2" t="s">
        <v>308</v>
      </c>
      <c r="C85" s="3" t="s">
        <v>328</v>
      </c>
      <c r="D85" s="10">
        <v>46445.875</v>
      </c>
      <c r="E85" s="10">
        <f t="shared" si="3"/>
        <v>46445.958333333336</v>
      </c>
      <c r="F85" s="11">
        <v>2</v>
      </c>
      <c r="G85" s="12" t="s">
        <v>324</v>
      </c>
      <c r="H85" s="2" t="s">
        <v>97</v>
      </c>
      <c r="I85" s="2" t="s">
        <v>98</v>
      </c>
      <c r="J85" s="2" t="s">
        <v>62</v>
      </c>
      <c r="K85" s="2" t="s">
        <v>329</v>
      </c>
      <c r="L85" s="2"/>
    </row>
    <row r="86" spans="1:12">
      <c r="A86" s="2" t="s">
        <v>330</v>
      </c>
      <c r="B86" s="2" t="s">
        <v>308</v>
      </c>
      <c r="C86" s="3" t="s">
        <v>331</v>
      </c>
      <c r="D86" s="10">
        <v>46445.708333000002</v>
      </c>
      <c r="E86" s="10">
        <f t="shared" si="3"/>
        <v>46445.770833000002</v>
      </c>
      <c r="F86" s="11">
        <v>1.5</v>
      </c>
      <c r="G86" s="12" t="s">
        <v>302</v>
      </c>
      <c r="H86" s="2" t="s">
        <v>102</v>
      </c>
      <c r="I86" s="2" t="s">
        <v>56</v>
      </c>
      <c r="J86" s="2" t="s">
        <v>62</v>
      </c>
      <c r="K86" s="2" t="s">
        <v>332</v>
      </c>
      <c r="L86" s="2"/>
    </row>
    <row r="87" spans="1:12">
      <c r="A87" s="2" t="s">
        <v>333</v>
      </c>
      <c r="B87" s="2" t="s">
        <v>308</v>
      </c>
      <c r="C87" s="3" t="s">
        <v>334</v>
      </c>
      <c r="D87" s="10">
        <v>46445.770833000002</v>
      </c>
      <c r="E87" s="10">
        <f t="shared" si="3"/>
        <v>46445.854166333338</v>
      </c>
      <c r="F87" s="11">
        <v>2</v>
      </c>
      <c r="G87" s="12" t="s">
        <v>330</v>
      </c>
      <c r="H87" s="2" t="s">
        <v>102</v>
      </c>
      <c r="I87" s="2" t="s">
        <v>56</v>
      </c>
      <c r="J87" s="2" t="s">
        <v>62</v>
      </c>
      <c r="K87" s="2" t="s">
        <v>335</v>
      </c>
      <c r="L87" s="2" t="s">
        <v>336</v>
      </c>
    </row>
    <row r="88" spans="1:12">
      <c r="A88" s="2" t="s">
        <v>337</v>
      </c>
      <c r="B88" s="2" t="s">
        <v>308</v>
      </c>
      <c r="C88" s="3" t="s">
        <v>338</v>
      </c>
      <c r="D88" s="10">
        <v>46445.708333000002</v>
      </c>
      <c r="E88" s="10">
        <f t="shared" si="3"/>
        <v>46445.833333000002</v>
      </c>
      <c r="F88" s="11">
        <v>3</v>
      </c>
      <c r="G88" s="12" t="s">
        <v>302</v>
      </c>
      <c r="H88" s="2" t="s">
        <v>143</v>
      </c>
      <c r="I88" s="2" t="s">
        <v>144</v>
      </c>
      <c r="J88" s="2" t="s">
        <v>62</v>
      </c>
      <c r="K88" s="2" t="s">
        <v>339</v>
      </c>
      <c r="L88" s="2"/>
    </row>
    <row r="89" spans="1:12">
      <c r="A89" s="2" t="s">
        <v>340</v>
      </c>
      <c r="B89" s="2" t="s">
        <v>308</v>
      </c>
      <c r="C89" s="3" t="s">
        <v>341</v>
      </c>
      <c r="D89" s="10">
        <v>46445.708333000002</v>
      </c>
      <c r="E89" s="10">
        <f t="shared" si="3"/>
        <v>46445.833333000002</v>
      </c>
      <c r="F89" s="11">
        <v>3</v>
      </c>
      <c r="G89" s="12" t="s">
        <v>302</v>
      </c>
      <c r="H89" s="2" t="s">
        <v>51</v>
      </c>
      <c r="I89" s="2" t="s">
        <v>52</v>
      </c>
      <c r="J89" s="2" t="s">
        <v>62</v>
      </c>
      <c r="K89" s="2" t="s">
        <v>342</v>
      </c>
      <c r="L89" s="2"/>
    </row>
    <row r="90" spans="1:12">
      <c r="A90" s="2" t="s">
        <v>343</v>
      </c>
      <c r="B90" s="2" t="s">
        <v>308</v>
      </c>
      <c r="C90" s="3" t="s">
        <v>344</v>
      </c>
      <c r="D90" s="10">
        <v>46445.833333000002</v>
      </c>
      <c r="E90" s="10">
        <f t="shared" si="3"/>
        <v>46445.874999666667</v>
      </c>
      <c r="F90" s="11">
        <v>1</v>
      </c>
      <c r="G90" s="12" t="s">
        <v>307</v>
      </c>
      <c r="H90" s="2" t="s">
        <v>82</v>
      </c>
      <c r="I90" s="2" t="s">
        <v>83</v>
      </c>
      <c r="J90" s="2" t="s">
        <v>62</v>
      </c>
      <c r="K90" s="2" t="s">
        <v>345</v>
      </c>
      <c r="L90" s="2"/>
    </row>
    <row r="91" spans="1:12">
      <c r="A91" s="2" t="s">
        <v>346</v>
      </c>
      <c r="B91" s="2" t="s">
        <v>308</v>
      </c>
      <c r="C91" s="3" t="s">
        <v>347</v>
      </c>
      <c r="D91" s="10">
        <v>46445.708333000002</v>
      </c>
      <c r="E91" s="10">
        <f t="shared" si="3"/>
        <v>46445.749999666667</v>
      </c>
      <c r="F91" s="11">
        <v>1</v>
      </c>
      <c r="G91" s="12" t="s">
        <v>302</v>
      </c>
      <c r="H91" s="2" t="s">
        <v>121</v>
      </c>
      <c r="I91" s="2" t="s">
        <v>122</v>
      </c>
      <c r="J91" s="2" t="s">
        <v>62</v>
      </c>
      <c r="K91" s="2" t="s">
        <v>348</v>
      </c>
      <c r="L91" s="2"/>
    </row>
    <row r="92" spans="1:12">
      <c r="A92" s="2" t="s">
        <v>349</v>
      </c>
      <c r="B92" s="2" t="s">
        <v>308</v>
      </c>
      <c r="C92" s="3" t="s">
        <v>350</v>
      </c>
      <c r="D92" s="10">
        <v>46445.958333000002</v>
      </c>
      <c r="E92" s="10">
        <f t="shared" si="3"/>
        <v>46446.041666333338</v>
      </c>
      <c r="F92" s="11">
        <v>2</v>
      </c>
      <c r="G92" s="12" t="s">
        <v>351</v>
      </c>
      <c r="H92" s="2" t="s">
        <v>41</v>
      </c>
      <c r="I92" s="2" t="s">
        <v>42</v>
      </c>
      <c r="J92" s="2" t="s">
        <v>62</v>
      </c>
      <c r="K92" s="2" t="s">
        <v>352</v>
      </c>
      <c r="L92" s="2"/>
    </row>
    <row r="93" spans="1:12">
      <c r="A93" s="2" t="s">
        <v>353</v>
      </c>
      <c r="B93" s="2" t="s">
        <v>308</v>
      </c>
      <c r="C93" s="3" t="s">
        <v>354</v>
      </c>
      <c r="D93" s="10">
        <v>46446.041666999998</v>
      </c>
      <c r="E93" s="10">
        <f t="shared" si="3"/>
        <v>46446.125000333333</v>
      </c>
      <c r="F93" s="11">
        <v>2</v>
      </c>
      <c r="G93" s="12" t="s">
        <v>349</v>
      </c>
      <c r="H93" s="2" t="s">
        <v>41</v>
      </c>
      <c r="I93" s="2" t="s">
        <v>42</v>
      </c>
      <c r="J93" s="2" t="s">
        <v>62</v>
      </c>
      <c r="K93" s="2" t="s">
        <v>355</v>
      </c>
      <c r="L93" s="2"/>
    </row>
    <row r="94" spans="1:12" ht="30">
      <c r="A94" s="2" t="s">
        <v>356</v>
      </c>
      <c r="B94" s="2" t="s">
        <v>21</v>
      </c>
      <c r="C94" s="3" t="s">
        <v>357</v>
      </c>
      <c r="D94" s="10">
        <v>46446.125</v>
      </c>
      <c r="E94" s="10">
        <f t="shared" si="3"/>
        <v>46446.166666666664</v>
      </c>
      <c r="F94" s="11">
        <v>1</v>
      </c>
      <c r="G94" s="12" t="s">
        <v>353</v>
      </c>
      <c r="H94" s="2" t="s">
        <v>41</v>
      </c>
      <c r="I94" s="2" t="s">
        <v>42</v>
      </c>
      <c r="J94" s="2" t="s">
        <v>62</v>
      </c>
      <c r="K94" s="2" t="s">
        <v>358</v>
      </c>
      <c r="L94" s="2"/>
    </row>
    <row r="95" spans="1:12">
      <c r="A95" s="2" t="s">
        <v>359</v>
      </c>
      <c r="B95" s="2" t="s">
        <v>21</v>
      </c>
      <c r="C95" s="3" t="s">
        <v>360</v>
      </c>
      <c r="D95" s="10">
        <v>46446.666666999998</v>
      </c>
      <c r="E95" s="10">
        <f t="shared" si="3"/>
        <v>46446.708333666662</v>
      </c>
      <c r="F95" s="11">
        <v>1</v>
      </c>
      <c r="G95" s="12" t="s">
        <v>356</v>
      </c>
      <c r="H95" s="2" t="s">
        <v>149</v>
      </c>
      <c r="I95" s="2" t="s">
        <v>150</v>
      </c>
      <c r="J95" s="2" t="s">
        <v>62</v>
      </c>
      <c r="K95" s="2" t="s">
        <v>361</v>
      </c>
      <c r="L95" s="2" t="s">
        <v>362</v>
      </c>
    </row>
    <row r="96" spans="1:12">
      <c r="A96" s="2" t="s">
        <v>363</v>
      </c>
      <c r="B96" s="2" t="s">
        <v>21</v>
      </c>
      <c r="C96" s="3" t="s">
        <v>364</v>
      </c>
      <c r="D96" s="10">
        <v>46446.708333000002</v>
      </c>
      <c r="E96" s="10">
        <f t="shared" si="3"/>
        <v>46446.729166333338</v>
      </c>
      <c r="F96" s="11">
        <v>0.5</v>
      </c>
      <c r="G96" s="12" t="s">
        <v>359</v>
      </c>
      <c r="H96" s="2" t="s">
        <v>126</v>
      </c>
      <c r="I96" s="2" t="s">
        <v>127</v>
      </c>
      <c r="J96" s="2" t="s">
        <v>62</v>
      </c>
      <c r="K96" s="2" t="s">
        <v>365</v>
      </c>
      <c r="L96" s="2"/>
    </row>
    <row r="97" spans="1:12">
      <c r="A97" s="2" t="s">
        <v>366</v>
      </c>
      <c r="B97" s="2" t="s">
        <v>367</v>
      </c>
      <c r="C97" s="3" t="s">
        <v>368</v>
      </c>
      <c r="D97" s="10">
        <v>46446.729166999998</v>
      </c>
      <c r="E97" s="10">
        <f t="shared" si="3"/>
        <v>46446.750000333333</v>
      </c>
      <c r="F97" s="11">
        <v>0.5</v>
      </c>
      <c r="G97" s="12" t="s">
        <v>363</v>
      </c>
      <c r="H97" s="2" t="s">
        <v>87</v>
      </c>
      <c r="I97" s="2" t="s">
        <v>88</v>
      </c>
      <c r="J97" s="2" t="s">
        <v>62</v>
      </c>
      <c r="K97" s="2" t="s">
        <v>369</v>
      </c>
      <c r="L97" s="2"/>
    </row>
    <row r="98" spans="1:12">
      <c r="A98" s="2" t="s">
        <v>370</v>
      </c>
      <c r="B98" s="2" t="s">
        <v>367</v>
      </c>
      <c r="C98" s="3" t="s">
        <v>371</v>
      </c>
      <c r="D98" s="10">
        <v>46446.729166999998</v>
      </c>
      <c r="E98" s="10">
        <f t="shared" si="3"/>
        <v>46446.770833666662</v>
      </c>
      <c r="F98" s="11">
        <v>1</v>
      </c>
      <c r="G98" s="12" t="s">
        <v>363</v>
      </c>
      <c r="H98" s="2" t="s">
        <v>60</v>
      </c>
      <c r="I98" s="2" t="s">
        <v>61</v>
      </c>
      <c r="J98" s="2" t="s">
        <v>62</v>
      </c>
      <c r="K98" s="2" t="s">
        <v>372</v>
      </c>
      <c r="L98" s="2"/>
    </row>
    <row r="99" spans="1:12">
      <c r="A99" s="2" t="s">
        <v>373</v>
      </c>
      <c r="B99" s="2" t="s">
        <v>367</v>
      </c>
      <c r="C99" s="3" t="s">
        <v>374</v>
      </c>
      <c r="D99" s="10">
        <v>46446.75</v>
      </c>
      <c r="E99" s="10">
        <f t="shared" si="3"/>
        <v>46446.791666666664</v>
      </c>
      <c r="F99" s="11">
        <v>1</v>
      </c>
      <c r="G99" s="12" t="s">
        <v>366</v>
      </c>
      <c r="H99" s="2" t="s">
        <v>60</v>
      </c>
      <c r="I99" s="2" t="s">
        <v>61</v>
      </c>
      <c r="J99" s="2" t="s">
        <v>62</v>
      </c>
      <c r="K99" s="2" t="s">
        <v>176</v>
      </c>
      <c r="L99" s="2"/>
    </row>
    <row r="100" spans="1:12">
      <c r="A100" s="2" t="s">
        <v>375</v>
      </c>
      <c r="B100" s="2" t="s">
        <v>367</v>
      </c>
      <c r="C100" s="3" t="s">
        <v>376</v>
      </c>
      <c r="D100" s="10">
        <v>46446.75</v>
      </c>
      <c r="E100" s="10">
        <f t="shared" ref="E100:E131" si="4">D100+F100/24</f>
        <v>46446.770833333336</v>
      </c>
      <c r="F100" s="11">
        <v>0.5</v>
      </c>
      <c r="G100" s="12" t="s">
        <v>366</v>
      </c>
      <c r="H100" s="2" t="s">
        <v>51</v>
      </c>
      <c r="I100" s="2" t="s">
        <v>52</v>
      </c>
      <c r="J100" s="2" t="s">
        <v>62</v>
      </c>
      <c r="K100" s="2" t="s">
        <v>377</v>
      </c>
      <c r="L100" s="2"/>
    </row>
    <row r="101" spans="1:12">
      <c r="A101" s="2" t="s">
        <v>378</v>
      </c>
      <c r="B101" s="2" t="s">
        <v>367</v>
      </c>
      <c r="C101" s="3" t="s">
        <v>379</v>
      </c>
      <c r="D101" s="10">
        <v>46446.770833000002</v>
      </c>
      <c r="E101" s="10">
        <f t="shared" si="4"/>
        <v>46446.791666333338</v>
      </c>
      <c r="F101" s="11">
        <v>0.5</v>
      </c>
      <c r="G101" s="12" t="s">
        <v>375</v>
      </c>
      <c r="H101" s="2" t="s">
        <v>51</v>
      </c>
      <c r="I101" s="2" t="s">
        <v>52</v>
      </c>
      <c r="J101" s="2" t="s">
        <v>62</v>
      </c>
      <c r="K101" s="2" t="s">
        <v>380</v>
      </c>
      <c r="L101" s="2"/>
    </row>
    <row r="102" spans="1:12">
      <c r="A102" s="2" t="s">
        <v>381</v>
      </c>
      <c r="B102" s="2" t="s">
        <v>367</v>
      </c>
      <c r="C102" s="3" t="s">
        <v>382</v>
      </c>
      <c r="D102" s="10">
        <v>46446.791666999998</v>
      </c>
      <c r="E102" s="10">
        <f t="shared" si="4"/>
        <v>46446.833333666662</v>
      </c>
      <c r="F102" s="11">
        <v>1</v>
      </c>
      <c r="G102" s="12" t="s">
        <v>373</v>
      </c>
      <c r="H102" s="2" t="s">
        <v>121</v>
      </c>
      <c r="I102" s="2" t="s">
        <v>122</v>
      </c>
      <c r="J102" s="2" t="s">
        <v>62</v>
      </c>
      <c r="K102" s="2" t="s">
        <v>383</v>
      </c>
      <c r="L102" s="2"/>
    </row>
    <row r="103" spans="1:12">
      <c r="A103" s="2" t="s">
        <v>384</v>
      </c>
      <c r="B103" s="2" t="s">
        <v>367</v>
      </c>
      <c r="C103" s="3" t="s">
        <v>385</v>
      </c>
      <c r="D103" s="10">
        <v>46447.291666999998</v>
      </c>
      <c r="E103" s="10">
        <f t="shared" si="4"/>
        <v>46447.312500333333</v>
      </c>
      <c r="F103" s="11">
        <v>0.5</v>
      </c>
      <c r="G103" s="12" t="s">
        <v>373</v>
      </c>
      <c r="H103" s="2" t="s">
        <v>126</v>
      </c>
      <c r="I103" s="2" t="s">
        <v>127</v>
      </c>
      <c r="J103" s="2" t="s">
        <v>62</v>
      </c>
      <c r="K103" s="2" t="s">
        <v>386</v>
      </c>
      <c r="L103" s="2"/>
    </row>
    <row r="104" spans="1:12">
      <c r="A104" s="2" t="s">
        <v>387</v>
      </c>
      <c r="B104" s="2" t="s">
        <v>367</v>
      </c>
      <c r="C104" s="3" t="s">
        <v>388</v>
      </c>
      <c r="D104" s="10">
        <v>46447.333333000002</v>
      </c>
      <c r="E104" s="10">
        <f t="shared" si="4"/>
        <v>46447.354166333338</v>
      </c>
      <c r="F104" s="11">
        <v>0.5</v>
      </c>
      <c r="G104" s="12" t="s">
        <v>384</v>
      </c>
      <c r="H104" s="2" t="s">
        <v>149</v>
      </c>
      <c r="I104" s="2" t="s">
        <v>150</v>
      </c>
      <c r="J104" s="2" t="s">
        <v>62</v>
      </c>
      <c r="K104" s="2" t="s">
        <v>389</v>
      </c>
      <c r="L104" s="2"/>
    </row>
    <row r="105" spans="1:12">
      <c r="A105" s="2" t="s">
        <v>390</v>
      </c>
      <c r="B105" s="2" t="s">
        <v>391</v>
      </c>
      <c r="C105" s="3" t="s">
        <v>392</v>
      </c>
      <c r="D105" s="10">
        <v>46447.291666999998</v>
      </c>
      <c r="E105" s="10">
        <f t="shared" si="4"/>
        <v>46447.791666999998</v>
      </c>
      <c r="F105" s="11">
        <v>12</v>
      </c>
      <c r="G105" s="12" t="s">
        <v>366</v>
      </c>
      <c r="H105" s="2" t="s">
        <v>41</v>
      </c>
      <c r="I105" s="2" t="s">
        <v>42</v>
      </c>
      <c r="J105" s="2" t="s">
        <v>62</v>
      </c>
      <c r="K105" s="2" t="s">
        <v>393</v>
      </c>
      <c r="L105" s="2"/>
    </row>
    <row r="106" spans="1:12">
      <c r="A106" s="2" t="s">
        <v>394</v>
      </c>
      <c r="B106" s="2" t="s">
        <v>391</v>
      </c>
      <c r="C106" s="3" t="s">
        <v>395</v>
      </c>
      <c r="D106" s="10">
        <v>46447.354166999998</v>
      </c>
      <c r="E106" s="10">
        <f t="shared" si="4"/>
        <v>46447.479166999998</v>
      </c>
      <c r="F106" s="11">
        <v>3</v>
      </c>
      <c r="G106" s="12" t="s">
        <v>387</v>
      </c>
      <c r="H106" s="2" t="s">
        <v>102</v>
      </c>
      <c r="I106" s="2" t="s">
        <v>56</v>
      </c>
      <c r="J106" s="2" t="s">
        <v>62</v>
      </c>
      <c r="K106" s="2" t="s">
        <v>396</v>
      </c>
      <c r="L106" s="2"/>
    </row>
    <row r="107" spans="1:12">
      <c r="A107" s="2" t="s">
        <v>397</v>
      </c>
      <c r="B107" s="2" t="s">
        <v>391</v>
      </c>
      <c r="C107" s="3" t="s">
        <v>398</v>
      </c>
      <c r="D107" s="10">
        <v>46447.354166999998</v>
      </c>
      <c r="E107" s="10">
        <f t="shared" si="4"/>
        <v>46447.479166999998</v>
      </c>
      <c r="F107" s="11">
        <v>3</v>
      </c>
      <c r="G107" s="12" t="s">
        <v>387</v>
      </c>
      <c r="H107" s="2" t="s">
        <v>97</v>
      </c>
      <c r="I107" s="2" t="s">
        <v>98</v>
      </c>
      <c r="J107" s="2" t="s">
        <v>62</v>
      </c>
      <c r="K107" s="2" t="s">
        <v>399</v>
      </c>
      <c r="L107" s="2"/>
    </row>
    <row r="108" spans="1:12">
      <c r="A108" s="2" t="s">
        <v>400</v>
      </c>
      <c r="B108" s="2" t="s">
        <v>391</v>
      </c>
      <c r="C108" s="3" t="s">
        <v>401</v>
      </c>
      <c r="D108" s="10">
        <v>46447.354166999998</v>
      </c>
      <c r="E108" s="10">
        <f t="shared" si="4"/>
        <v>46447.479166999998</v>
      </c>
      <c r="F108" s="11">
        <v>3</v>
      </c>
      <c r="G108" s="12" t="s">
        <v>387</v>
      </c>
      <c r="H108" s="2" t="s">
        <v>87</v>
      </c>
      <c r="I108" s="2" t="s">
        <v>88</v>
      </c>
      <c r="J108" s="2" t="s">
        <v>62</v>
      </c>
      <c r="K108" s="2" t="s">
        <v>402</v>
      </c>
      <c r="L108" s="2"/>
    </row>
    <row r="109" spans="1:12">
      <c r="A109" s="2" t="s">
        <v>403</v>
      </c>
      <c r="B109" s="2" t="s">
        <v>391</v>
      </c>
      <c r="C109" s="3" t="s">
        <v>404</v>
      </c>
      <c r="D109" s="10">
        <v>46447.354166999998</v>
      </c>
      <c r="E109" s="10">
        <f t="shared" si="4"/>
        <v>46447.520833666662</v>
      </c>
      <c r="F109" s="11">
        <v>4</v>
      </c>
      <c r="G109" s="12" t="s">
        <v>387</v>
      </c>
      <c r="H109" s="2" t="s">
        <v>51</v>
      </c>
      <c r="I109" s="2" t="s">
        <v>52</v>
      </c>
      <c r="J109" s="2" t="s">
        <v>62</v>
      </c>
      <c r="K109" s="2" t="s">
        <v>405</v>
      </c>
      <c r="L109" s="2"/>
    </row>
    <row r="110" spans="1:12">
      <c r="A110" s="2" t="s">
        <v>406</v>
      </c>
      <c r="B110" s="2" t="s">
        <v>391</v>
      </c>
      <c r="C110" s="3" t="s">
        <v>407</v>
      </c>
      <c r="D110" s="10">
        <v>46447.354166999998</v>
      </c>
      <c r="E110" s="10">
        <f t="shared" si="4"/>
        <v>46447.520833666662</v>
      </c>
      <c r="F110" s="11">
        <v>4</v>
      </c>
      <c r="G110" s="12" t="s">
        <v>387</v>
      </c>
      <c r="H110" s="2" t="s">
        <v>143</v>
      </c>
      <c r="I110" s="2" t="s">
        <v>144</v>
      </c>
      <c r="J110" s="2" t="s">
        <v>62</v>
      </c>
      <c r="K110" s="2" t="s">
        <v>408</v>
      </c>
      <c r="L110" s="2"/>
    </row>
    <row r="111" spans="1:12">
      <c r="A111" s="2" t="s">
        <v>409</v>
      </c>
      <c r="B111" s="2" t="s">
        <v>391</v>
      </c>
      <c r="C111" s="3" t="s">
        <v>410</v>
      </c>
      <c r="D111" s="10">
        <v>46447.354166999998</v>
      </c>
      <c r="E111" s="10">
        <f t="shared" si="4"/>
        <v>46447.687500333333</v>
      </c>
      <c r="F111" s="11">
        <v>8</v>
      </c>
      <c r="G111" s="12" t="s">
        <v>387</v>
      </c>
      <c r="H111" s="2" t="s">
        <v>121</v>
      </c>
      <c r="I111" s="2" t="s">
        <v>122</v>
      </c>
      <c r="J111" s="2" t="s">
        <v>62</v>
      </c>
      <c r="K111" s="2" t="s">
        <v>411</v>
      </c>
      <c r="L111" s="2"/>
    </row>
    <row r="112" spans="1:12">
      <c r="A112" s="2" t="s">
        <v>412</v>
      </c>
      <c r="B112" s="2" t="s">
        <v>391</v>
      </c>
      <c r="C112" s="3" t="s">
        <v>413</v>
      </c>
      <c r="D112" s="10">
        <v>46447.541666999998</v>
      </c>
      <c r="E112" s="10">
        <f t="shared" si="4"/>
        <v>46447.625000333333</v>
      </c>
      <c r="F112" s="11">
        <v>2</v>
      </c>
      <c r="G112" s="12" t="s">
        <v>390</v>
      </c>
      <c r="H112" s="2" t="s">
        <v>41</v>
      </c>
      <c r="I112" s="2" t="s">
        <v>42</v>
      </c>
      <c r="J112" s="2" t="s">
        <v>62</v>
      </c>
      <c r="K112" s="2" t="s">
        <v>414</v>
      </c>
      <c r="L112" s="2"/>
    </row>
    <row r="113" spans="1:12">
      <c r="A113" s="2" t="s">
        <v>415</v>
      </c>
      <c r="B113" s="2" t="s">
        <v>391</v>
      </c>
      <c r="C113" s="3" t="s">
        <v>416</v>
      </c>
      <c r="D113" s="10">
        <v>46447.75</v>
      </c>
      <c r="E113" s="10">
        <f t="shared" si="4"/>
        <v>46447.791666666664</v>
      </c>
      <c r="F113" s="11">
        <v>1</v>
      </c>
      <c r="G113" s="12" t="s">
        <v>412</v>
      </c>
      <c r="H113" s="2" t="s">
        <v>41</v>
      </c>
      <c r="I113" s="2" t="s">
        <v>42</v>
      </c>
      <c r="J113" s="2" t="s">
        <v>62</v>
      </c>
      <c r="K113" s="2" t="s">
        <v>417</v>
      </c>
      <c r="L113" s="2"/>
    </row>
    <row r="114" spans="1:12">
      <c r="A114" s="2" t="s">
        <v>418</v>
      </c>
      <c r="B114" s="2" t="s">
        <v>391</v>
      </c>
      <c r="C114" s="3" t="s">
        <v>419</v>
      </c>
      <c r="D114" s="10">
        <v>46447.791666999998</v>
      </c>
      <c r="E114" s="10">
        <f t="shared" si="4"/>
        <v>46447.833333666662</v>
      </c>
      <c r="F114" s="11">
        <v>1</v>
      </c>
      <c r="G114" s="12" t="s">
        <v>415</v>
      </c>
      <c r="H114" s="2" t="s">
        <v>41</v>
      </c>
      <c r="I114" s="2" t="s">
        <v>42</v>
      </c>
      <c r="J114" s="2" t="s">
        <v>62</v>
      </c>
      <c r="K114" s="2" t="s">
        <v>420</v>
      </c>
      <c r="L114" s="2"/>
    </row>
  </sheetData>
  <mergeCells count="1">
    <mergeCell ref="A1:L1"/>
  </mergeCells>
  <conditionalFormatting sqref="B3:B114">
    <cfRule type="containsText" dxfId="14" priority="1" operator="containsText" text="Go/No-Go">
      <formula>NOT(ISERROR(SEARCH("Go/No-Go",B3)))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14D6-B674-4E10-AD5C-B81ECCAFEF2C}">
  <dimension ref="A1:F1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8.7109375" customWidth="1"/>
    <col min="2" max="2" width="8.7109375" customWidth="1"/>
    <col min="3" max="4" width="22.7109375" customWidth="1"/>
    <col min="5" max="5" width="16.7109375" customWidth="1"/>
    <col min="6" max="6" width="14.7109375" customWidth="1"/>
  </cols>
  <sheetData>
    <row r="1" spans="1:6" ht="18.75">
      <c r="A1" s="28" t="s">
        <v>421</v>
      </c>
      <c r="B1" s="28"/>
      <c r="C1" s="28"/>
      <c r="D1" s="28"/>
      <c r="E1" s="28"/>
      <c r="F1" s="28"/>
    </row>
    <row r="2" spans="1:6">
      <c r="A2" s="13" t="s">
        <v>27</v>
      </c>
      <c r="B2" s="13" t="s">
        <v>422</v>
      </c>
      <c r="C2" s="13" t="s">
        <v>423</v>
      </c>
      <c r="D2" s="13" t="s">
        <v>424</v>
      </c>
      <c r="E2" s="13" t="s">
        <v>425</v>
      </c>
      <c r="F2" s="13" t="s">
        <v>426</v>
      </c>
    </row>
    <row r="3" spans="1:6">
      <c r="A3" s="1" t="s">
        <v>39</v>
      </c>
      <c r="B3" s="14">
        <f>COUNTIFS('Runbook'!$B$3:$B$114,A3)</f>
        <v>28</v>
      </c>
      <c r="C3" s="15">
        <f>_xlfn.MINIFS('Runbook'!$D$3:$D$114,'Runbook'!$B$3:$B$114,A3)</f>
        <v>46430.375</v>
      </c>
      <c r="D3" s="15">
        <f>_xlfn.MAXIFS('Runbook'!$E$3:$E$114,'Runbook'!$B$3:$B$114,A3)</f>
        <v>46443.458333333336</v>
      </c>
      <c r="E3" s="16">
        <f>SUMIFS('Runbook'!$F$3:$F$114,'Runbook'!$B$3:$B$114,A3)</f>
        <v>182</v>
      </c>
      <c r="F3" s="16">
        <f t="shared" ref="F3:F11" si="0">(D3-C3)*24</f>
        <v>314.00000000005821</v>
      </c>
    </row>
    <row r="4" spans="1:6">
      <c r="A4" s="21" t="s">
        <v>157</v>
      </c>
      <c r="B4" s="22">
        <f>COUNTIFS('Runbook'!$B$3:$B$114,A4)</f>
        <v>10</v>
      </c>
      <c r="C4" s="23">
        <f>_xlfn.MINIFS('Runbook'!$D$3:$D$114,'Runbook'!$B$3:$B$114,A4)</f>
        <v>46444.5</v>
      </c>
      <c r="D4" s="23">
        <f>_xlfn.MAXIFS('Runbook'!$E$3:$E$114,'Runbook'!$B$3:$B$114,A4)</f>
        <v>46444.812500333333</v>
      </c>
      <c r="E4" s="24">
        <f>SUMIFS('Runbook'!$F$3:$F$114,'Runbook'!$B$3:$B$114,A4)</f>
        <v>14.5</v>
      </c>
      <c r="F4" s="24">
        <f t="shared" si="0"/>
        <v>7.5000080000027083</v>
      </c>
    </row>
    <row r="5" spans="1:6">
      <c r="A5" s="1" t="s">
        <v>195</v>
      </c>
      <c r="B5" s="14">
        <f>COUNTIFS('Runbook'!$B$3:$B$114,A5)</f>
        <v>22</v>
      </c>
      <c r="C5" s="15">
        <f>_xlfn.MINIFS('Runbook'!$D$3:$D$114,'Runbook'!$B$3:$B$114,A5)</f>
        <v>46444.854166999998</v>
      </c>
      <c r="D5" s="15">
        <f>_xlfn.MAXIFS('Runbook'!$E$3:$E$114,'Runbook'!$B$3:$B$114,A5)</f>
        <v>46445.416666666664</v>
      </c>
      <c r="E5" s="16">
        <f>SUMIFS('Runbook'!$F$3:$F$114,'Runbook'!$B$3:$B$114,A5)</f>
        <v>41.5</v>
      </c>
      <c r="F5" s="16">
        <f t="shared" si="0"/>
        <v>13.499991999997292</v>
      </c>
    </row>
    <row r="6" spans="1:6">
      <c r="A6" s="21" t="s">
        <v>259</v>
      </c>
      <c r="B6" s="22">
        <f>COUNTIFS('Runbook'!$B$3:$B$114,A6)</f>
        <v>12</v>
      </c>
      <c r="C6" s="23">
        <f>_xlfn.MINIFS('Runbook'!$D$3:$D$114,'Runbook'!$B$3:$B$114,A6)</f>
        <v>46445.416666999998</v>
      </c>
      <c r="D6" s="23">
        <f>_xlfn.MAXIFS('Runbook'!$E$3:$E$114,'Runbook'!$B$3:$B$114,A6)</f>
        <v>46445.645833333336</v>
      </c>
      <c r="E6" s="24">
        <f>SUMIFS('Runbook'!$F$3:$F$114,'Runbook'!$B$3:$B$114,A6)</f>
        <v>14</v>
      </c>
      <c r="F6" s="24">
        <f t="shared" si="0"/>
        <v>5.499992000113707</v>
      </c>
    </row>
    <row r="7" spans="1:6">
      <c r="A7" s="1" t="s">
        <v>308</v>
      </c>
      <c r="B7" s="14">
        <f>COUNTIFS('Runbook'!$B$3:$B$114,A7)</f>
        <v>15</v>
      </c>
      <c r="C7" s="15">
        <f>_xlfn.MINIFS('Runbook'!$D$3:$D$114,'Runbook'!$B$3:$B$114,A7)</f>
        <v>46445.708333000002</v>
      </c>
      <c r="D7" s="15">
        <f>_xlfn.MAXIFS('Runbook'!$E$3:$E$114,'Runbook'!$B$3:$B$114,A7)</f>
        <v>46446.125000333333</v>
      </c>
      <c r="E7" s="16">
        <f>SUMIFS('Runbook'!$F$3:$F$114,'Runbook'!$B$3:$B$114,A7)</f>
        <v>32.5</v>
      </c>
      <c r="F7" s="16">
        <f t="shared" si="0"/>
        <v>10.000015999947209</v>
      </c>
    </row>
    <row r="8" spans="1:6">
      <c r="A8" s="21" t="s">
        <v>21</v>
      </c>
      <c r="B8" s="22">
        <f>COUNTIFS('Runbook'!$B$3:$B$114,A8)</f>
        <v>7</v>
      </c>
      <c r="C8" s="23">
        <f>_xlfn.MINIFS('Runbook'!$D$3:$D$114,'Runbook'!$B$3:$B$114,A8)</f>
        <v>46444.8125</v>
      </c>
      <c r="D8" s="23">
        <f>_xlfn.MAXIFS('Runbook'!$E$3:$E$114,'Runbook'!$B$3:$B$114,A8)</f>
        <v>46446.729166333338</v>
      </c>
      <c r="E8" s="24">
        <f>SUMIFS('Runbook'!$F$3:$F$114,'Runbook'!$B$3:$B$114,A8)</f>
        <v>5</v>
      </c>
      <c r="F8" s="24">
        <f t="shared" si="0"/>
        <v>45.999992000113707</v>
      </c>
    </row>
    <row r="9" spans="1:6">
      <c r="A9" s="1" t="s">
        <v>367</v>
      </c>
      <c r="B9" s="14">
        <f>COUNTIFS('Runbook'!$B$3:$B$114,A9)</f>
        <v>8</v>
      </c>
      <c r="C9" s="15">
        <f>_xlfn.MINIFS('Runbook'!$D$3:$D$114,'Runbook'!$B$3:$B$114,A9)</f>
        <v>46446.729166999998</v>
      </c>
      <c r="D9" s="15">
        <f>_xlfn.MAXIFS('Runbook'!$E$3:$E$114,'Runbook'!$B$3:$B$114,A9)</f>
        <v>46447.354166333338</v>
      </c>
      <c r="E9" s="16">
        <f>SUMIFS('Runbook'!$F$3:$F$114,'Runbook'!$B$3:$B$114,A9)</f>
        <v>5.5</v>
      </c>
      <c r="F9" s="16">
        <f t="shared" si="0"/>
        <v>14.999984000169206</v>
      </c>
    </row>
    <row r="10" spans="1:6">
      <c r="A10" s="21" t="s">
        <v>391</v>
      </c>
      <c r="B10" s="22">
        <f>COUNTIFS('Runbook'!$B$3:$B$114,A10)</f>
        <v>10</v>
      </c>
      <c r="C10" s="23">
        <f>_xlfn.MINIFS('Runbook'!$D$3:$D$114,'Runbook'!$B$3:$B$114,A10)</f>
        <v>46447.291666999998</v>
      </c>
      <c r="D10" s="23">
        <f>_xlfn.MAXIFS('Runbook'!$E$3:$E$114,'Runbook'!$B$3:$B$114,A10)</f>
        <v>46447.833333666662</v>
      </c>
      <c r="E10" s="24">
        <f>SUMIFS('Runbook'!$F$3:$F$114,'Runbook'!$B$3:$B$114,A10)</f>
        <v>41</v>
      </c>
      <c r="F10" s="24">
        <f t="shared" si="0"/>
        <v>12.999999999941792</v>
      </c>
    </row>
    <row r="11" spans="1:6">
      <c r="A11" s="17" t="s">
        <v>427</v>
      </c>
      <c r="B11" s="18">
        <f>SUM(B3:B10)</f>
        <v>112</v>
      </c>
      <c r="C11" s="19">
        <f>MIN(C3:C10)</f>
        <v>46430.375</v>
      </c>
      <c r="D11" s="19">
        <f>MAX(D3:D10)</f>
        <v>46447.833333666662</v>
      </c>
      <c r="E11" s="20">
        <f>SUM(E3:E10)</f>
        <v>336</v>
      </c>
      <c r="F11" s="20">
        <f t="shared" si="0"/>
        <v>419.00000799988629</v>
      </c>
    </row>
  </sheetData>
  <mergeCells count="1">
    <mergeCell ref="A1:F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i:0#.f|membership|loretteroos@microsoft.com</cp:lastModifiedBy>
  <cp:revision/>
  <dcterms:created xsi:type="dcterms:W3CDTF">2026-10-19T04:55:16Z</dcterms:created>
  <dcterms:modified xsi:type="dcterms:W3CDTF">2026-10-21T09:30:44Z</dcterms:modified>
  <cp:category/>
  <cp:contentStatus/>
</cp:coreProperties>
</file>